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b73bb82a4850dac/Desktop/Dipankar Personal Folder/"/>
    </mc:Choice>
  </mc:AlternateContent>
  <xr:revisionPtr revIDLastSave="1" documentId="13_ncr:1_{81B45193-2F9D-4B92-AA1C-45C14F9C031D}" xr6:coauthVersionLast="47" xr6:coauthVersionMax="47" xr10:uidLastSave="{04AFB764-70C3-4BEC-AA71-E28BFA739709}"/>
  <bookViews>
    <workbookView xWindow="-108" yWindow="-108" windowWidth="23256" windowHeight="12456" activeTab="1" xr2:uid="{00000000-000D-0000-FFFF-FFFF00000000}"/>
  </bookViews>
  <sheets>
    <sheet name="Executive Summary" sheetId="3" r:id="rId1"/>
    <sheet name="Aarohan Durga Puja 2026" sheetId="1" r:id="rId2"/>
    <sheet name="Notes" sheetId="2" state="hidden" r:id="rId3"/>
  </sheets>
  <definedNames>
    <definedName name="_xlnm._FilterDatabase" localSheetId="1" hidden="1">'Aarohan Durga Puja 2026'!$B$3:$O$175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3" l="1"/>
  <c r="H14" i="3"/>
  <c r="J13" i="3"/>
  <c r="H13" i="3"/>
  <c r="J12" i="3"/>
  <c r="H12" i="3"/>
  <c r="J11" i="3"/>
  <c r="H11" i="3"/>
  <c r="D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B18" i="3"/>
  <c r="D17" i="3"/>
  <c r="C17" i="3"/>
  <c r="B17" i="3"/>
  <c r="D13" i="3"/>
  <c r="D12" i="3"/>
  <c r="D11" i="3"/>
  <c r="C12" i="3"/>
  <c r="B13" i="3"/>
  <c r="B12" i="3"/>
  <c r="B11" i="3"/>
  <c r="E7" i="3"/>
  <c r="E6" i="3"/>
  <c r="E5" i="3"/>
  <c r="E4" i="3"/>
  <c r="B6" i="3"/>
  <c r="B4" i="3"/>
  <c r="J4" i="1" a="1"/>
  <c r="J5" i="1" a="1"/>
  <c r="I12" i="3" s="1"/>
  <c r="K12" i="3" s="1"/>
  <c r="J6" i="1" a="1"/>
  <c r="J7" i="1" a="1"/>
  <c r="J8" i="1" a="1"/>
  <c r="J9" i="1" a="1"/>
  <c r="J10" i="1" a="1"/>
  <c r="J11" i="1" a="1"/>
  <c r="J12" i="1" a="1"/>
  <c r="I13" i="3" s="1"/>
  <c r="K13" i="3" s="1"/>
  <c r="J13" i="1" a="1"/>
  <c r="J14" i="1" a="1"/>
  <c r="J15" i="1" a="1"/>
  <c r="J16" i="1" a="1"/>
  <c r="J17" i="1" a="1"/>
  <c r="J18" i="1" a="1"/>
  <c r="J19" i="1" a="1"/>
  <c r="J20" i="1" a="1"/>
  <c r="J21" i="1" a="1"/>
  <c r="J22" i="1" a="1"/>
  <c r="J23" i="1" a="1"/>
  <c r="J24" i="1" a="1"/>
  <c r="J25" i="1" a="1"/>
  <c r="J26" i="1" a="1"/>
  <c r="J27" i="1" a="1"/>
  <c r="J28" i="1" a="1"/>
  <c r="J29" i="1" a="1"/>
  <c r="J30" i="1" a="1"/>
  <c r="J31" i="1" a="1"/>
  <c r="J32" i="1" a="1"/>
  <c r="J33" i="1" a="1"/>
  <c r="J34" i="1" a="1"/>
  <c r="J35" i="1" a="1"/>
  <c r="J36" i="1" a="1"/>
  <c r="J37" i="1" a="1"/>
  <c r="J38" i="1" a="1"/>
  <c r="J39" i="1" a="1"/>
  <c r="J40" i="1" a="1"/>
  <c r="J41" i="1" a="1"/>
  <c r="J42" i="1" a="1"/>
  <c r="J43" i="1" a="1"/>
  <c r="J44" i="1" a="1"/>
  <c r="J45" i="1" a="1"/>
  <c r="J46" i="1" a="1"/>
  <c r="J47" i="1" a="1"/>
  <c r="J48" i="1" a="1"/>
  <c r="J49" i="1" a="1"/>
  <c r="J50" i="1" a="1"/>
  <c r="J51" i="1" a="1"/>
  <c r="J52" i="1" a="1"/>
  <c r="J53" i="1" a="1"/>
  <c r="J54" i="1" a="1"/>
  <c r="J55" i="1" a="1"/>
  <c r="J56" i="1" a="1"/>
  <c r="J57" i="1" a="1"/>
  <c r="J58" i="1" a="1"/>
  <c r="J59" i="1" a="1"/>
  <c r="J60" i="1" a="1"/>
  <c r="J61" i="1" a="1"/>
  <c r="J62" i="1" a="1"/>
  <c r="J63" i="1" a="1"/>
  <c r="J64" i="1" a="1"/>
  <c r="J65" i="1" a="1"/>
  <c r="J66" i="1" a="1"/>
  <c r="J67" i="1" a="1"/>
  <c r="J68" i="1" a="1"/>
  <c r="J69" i="1" a="1"/>
  <c r="J70" i="1" a="1"/>
  <c r="J71" i="1" a="1"/>
  <c r="J72" i="1" a="1"/>
  <c r="J73" i="1" a="1"/>
  <c r="J74" i="1" a="1"/>
  <c r="J75" i="1" a="1"/>
  <c r="J76" i="1" a="1"/>
  <c r="J77" i="1" a="1"/>
  <c r="J78" i="1" a="1"/>
  <c r="J79" i="1" a="1"/>
  <c r="J80" i="1" a="1"/>
  <c r="J81" i="1" a="1"/>
  <c r="J82" i="1" a="1"/>
  <c r="J83" i="1" a="1"/>
  <c r="J84" i="1" a="1"/>
  <c r="J85" i="1" a="1"/>
  <c r="J86" i="1" a="1"/>
  <c r="J87" i="1" a="1"/>
  <c r="J88" i="1" a="1"/>
  <c r="J89" i="1" a="1"/>
  <c r="J90" i="1" a="1"/>
  <c r="J91" i="1" a="1"/>
  <c r="J92" i="1" a="1"/>
  <c r="J93" i="1" a="1"/>
  <c r="J94" i="1" a="1"/>
  <c r="J95" i="1" a="1"/>
  <c r="J96" i="1" a="1"/>
  <c r="J97" i="1" a="1"/>
  <c r="J98" i="1" a="1"/>
  <c r="J99" i="1" a="1"/>
  <c r="J100" i="1" a="1"/>
  <c r="J101" i="1" a="1"/>
  <c r="J102" i="1" a="1"/>
  <c r="J103" i="1" a="1"/>
  <c r="J104" i="1" a="1"/>
  <c r="J105" i="1" a="1"/>
  <c r="J106" i="1" a="1"/>
  <c r="J107" i="1" a="1"/>
  <c r="J108" i="1" a="1"/>
  <c r="J109" i="1" a="1"/>
  <c r="J110" i="1" a="1"/>
  <c r="J111" i="1" a="1"/>
  <c r="J112" i="1" a="1"/>
  <c r="J113" i="1" a="1"/>
  <c r="J114" i="1" a="1"/>
  <c r="J115" i="1" a="1"/>
  <c r="J116" i="1" a="1"/>
  <c r="J117" i="1" a="1"/>
  <c r="J118" i="1" a="1"/>
  <c r="J119" i="1" a="1"/>
  <c r="J120" i="1" a="1"/>
  <c r="J121" i="1" a="1"/>
  <c r="J122" i="1" a="1"/>
  <c r="J123" i="1" a="1"/>
  <c r="J124" i="1" a="1"/>
  <c r="J125" i="1" a="1"/>
  <c r="J126" i="1" a="1"/>
  <c r="J127" i="1" a="1"/>
  <c r="J128" i="1" a="1"/>
  <c r="J129" i="1" a="1"/>
  <c r="J130" i="1" a="1"/>
  <c r="J131" i="1" a="1"/>
  <c r="J132" i="1" a="1"/>
  <c r="J133" i="1" a="1"/>
  <c r="J134" i="1" a="1"/>
  <c r="J135" i="1" a="1"/>
  <c r="J136" i="1" a="1"/>
  <c r="J137" i="1" a="1"/>
  <c r="J138" i="1" a="1"/>
  <c r="J139" i="1" a="1"/>
  <c r="J140" i="1" a="1"/>
  <c r="J141" i="1" a="1"/>
  <c r="J142" i="1" a="1"/>
  <c r="J143" i="1" a="1"/>
  <c r="J144" i="1" a="1"/>
  <c r="J145" i="1" a="1"/>
  <c r="J146" i="1" a="1"/>
  <c r="J147" i="1" a="1"/>
  <c r="J148" i="1" a="1"/>
  <c r="J149" i="1" a="1"/>
  <c r="J150" i="1" a="1"/>
  <c r="J151" i="1" a="1"/>
  <c r="J152" i="1" a="1"/>
  <c r="J153" i="1" a="1"/>
  <c r="J154" i="1" a="1"/>
  <c r="J155" i="1" a="1"/>
  <c r="J156" i="1" a="1"/>
  <c r="J157" i="1" a="1"/>
  <c r="J158" i="1" a="1"/>
  <c r="J159" i="1" a="1"/>
  <c r="J160" i="1" a="1"/>
  <c r="J161" i="1" a="1"/>
  <c r="J162" i="1" a="1"/>
  <c r="J163" i="1" a="1"/>
  <c r="J164" i="1" a="1"/>
  <c r="J165" i="1" a="1"/>
  <c r="J166" i="1" a="1"/>
  <c r="J167" i="1" a="1"/>
  <c r="J168" i="1" a="1"/>
  <c r="J169" i="1" a="1"/>
  <c r="J170" i="1" a="1"/>
  <c r="J171" i="1" a="1"/>
  <c r="J172" i="1" a="1"/>
  <c r="J173" i="1" a="1"/>
  <c r="J174" i="1" a="1"/>
  <c r="J175" i="1" a="1"/>
  <c r="E22" i="3" l="1"/>
  <c r="C13" i="3"/>
  <c r="E13" i="3" s="1"/>
  <c r="E20" i="3"/>
  <c r="E17" i="3"/>
  <c r="E12" i="3"/>
  <c r="C11" i="3"/>
  <c r="E11" i="3" s="1"/>
  <c r="I14" i="3"/>
  <c r="K14" i="3" s="1"/>
  <c r="C24" i="3"/>
  <c r="B5" i="3"/>
  <c r="B7" i="3" s="1"/>
  <c r="C18" i="3"/>
  <c r="E18" i="3" s="1"/>
  <c r="I11" i="3"/>
  <c r="K11" i="3" s="1"/>
  <c r="E24" i="3"/>
  <c r="E19" i="3"/>
  <c r="E21" i="3"/>
  <c r="E23" i="3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<sst xmlns="http://schemas.openxmlformats.org/spreadsheetml/2006/main" count="792" uniqueCount="748">
  <si>
    <t>Name</t>
  </si>
  <si>
    <t>Email</t>
  </si>
  <si>
    <t>Mobile Number</t>
  </si>
  <si>
    <t>Address</t>
  </si>
  <si>
    <t>Children Below 5</t>
  </si>
  <si>
    <t>Children 5-12</t>
  </si>
  <si>
    <t>Adults</t>
  </si>
  <si>
    <t>Membership Type</t>
  </si>
  <si>
    <t>Donation Amount</t>
  </si>
  <si>
    <t>Payment Date</t>
  </si>
  <si>
    <t>Committee Interest</t>
  </si>
  <si>
    <t>Payment Status</t>
  </si>
  <si>
    <t>Aniruddha Chatterjee</t>
  </si>
  <si>
    <t>ruddha.mine@gmail.com</t>
  </si>
  <si>
    <t>7980895983</t>
  </si>
  <si>
    <t>S K Residency, Kadugodi, Bengaluru</t>
  </si>
  <si>
    <t>23/06/2025</t>
  </si>
  <si>
    <t>Puja Arrangement</t>
  </si>
  <si>
    <t>Ms Rakhee Paul</t>
  </si>
  <si>
    <t>rakheedass999@gmail.com</t>
  </si>
  <si>
    <t>9088280763</t>
  </si>
  <si>
    <t>Flat AG08 VS Sai Ashraya Apartments, Belathur Main Rd, Belathur, Krishnarajapuram, Bengaluru, Karnataka 560067</t>
  </si>
  <si>
    <t>24/06/2025</t>
  </si>
  <si>
    <t>Membership</t>
  </si>
  <si>
    <t>Ayaskanta Swain</t>
  </si>
  <si>
    <t>ayaskant.swain@gmail.com</t>
  </si>
  <si>
    <t>9886268850</t>
  </si>
  <si>
    <t>B-801, Mera Homes, Seegehalli Main Road, Seegehalli, Bengaluru - 560067</t>
  </si>
  <si>
    <t>27/06/2025</t>
  </si>
  <si>
    <t>Not Applicable</t>
  </si>
  <si>
    <t>Anirban Gomes</t>
  </si>
  <si>
    <t>anirban.gomes@gmail.com</t>
  </si>
  <si>
    <t>7605894612</t>
  </si>
  <si>
    <t>Trifecta Esplanade K456, Belathur Main Road, Kadugodi, Bangalore 560067</t>
  </si>
  <si>
    <t>28/06/2025</t>
  </si>
  <si>
    <t>Manojit Bhattacharya</t>
  </si>
  <si>
    <t>mail2manojit@gmail.com</t>
  </si>
  <si>
    <t>9686079702</t>
  </si>
  <si>
    <t>Gopalan Atlantis, C Block - 403, ECC Road, Whitefield-560066</t>
  </si>
  <si>
    <t>29/06/2025</t>
  </si>
  <si>
    <t>Leading Cultural Activities</t>
  </si>
  <si>
    <t>Soma Dey</t>
  </si>
  <si>
    <t>soma.deymondal@gmail.com</t>
  </si>
  <si>
    <t>9686002898</t>
  </si>
  <si>
    <t>5602, Sbr Horizon, Vastu Bhoomi, Seegehalli, Bangalore 560067</t>
  </si>
  <si>
    <t>30/06/2025</t>
  </si>
  <si>
    <t>Dipayan Bhattacharya</t>
  </si>
  <si>
    <t>dipbhatt9@gmail.com</t>
  </si>
  <si>
    <t>9874305941</t>
  </si>
  <si>
    <t>E403 Sumadhura Madhuram ECC road Whitefield Bangalore Karnataka 560066</t>
  </si>
  <si>
    <t>Souvick Sengupta</t>
  </si>
  <si>
    <t>souvick.sengupta@gmail.com</t>
  </si>
  <si>
    <t>9866770887</t>
  </si>
  <si>
    <t>Prestige Lakeside Habitat</t>
  </si>
  <si>
    <t>Sumana Maji</t>
  </si>
  <si>
    <t>maji.sumana.5787@gmail.com</t>
  </si>
  <si>
    <t>9620465404</t>
  </si>
  <si>
    <t>Vaishno Signature, B206, 1 Hoodi Main Road, Anup Layout, Hoodi, Bangalore - 560048</t>
  </si>
  <si>
    <t>KOUSHIK ACHARYA</t>
  </si>
  <si>
    <t>koushik255@gmail.com</t>
  </si>
  <si>
    <t>9663076367</t>
  </si>
  <si>
    <t>FLAT A314, JEEVAN GRANDUER, SR NO 56, KUMBENA AGRAHARA, BELATHUR, KADUGODI</t>
  </si>
  <si>
    <t>Suprasanna Bhaumik</t>
  </si>
  <si>
    <t>suprasanna.bhaumik86@gmail.com</t>
  </si>
  <si>
    <t>9986991789</t>
  </si>
  <si>
    <t>301, A Block, Subhodaya Lauras, 2nd Main, Belathur Subhodaya Lauras</t>
  </si>
  <si>
    <t>ESHANEE CHAUDHURI</t>
  </si>
  <si>
    <t>eshanee.chaudhuri@gmail.com</t>
  </si>
  <si>
    <t>9980651237</t>
  </si>
  <si>
    <t>Golden Blossom Apartment PR 906</t>
  </si>
  <si>
    <t>Samarendra Chakraborty</t>
  </si>
  <si>
    <t>samarendrachakraborty@gmail.com</t>
  </si>
  <si>
    <t>9986689065</t>
  </si>
  <si>
    <t>313/315, Radiant Silver Bell 2, Shakti Layout, Kodigehalli Road, Kodigehalli, Kadugodi Post</t>
  </si>
  <si>
    <t>Rahul Sur</t>
  </si>
  <si>
    <t>surrahul.jgec@gmail.com</t>
  </si>
  <si>
    <t>9836721800</t>
  </si>
  <si>
    <t>B120, United Suncity Apartment, Sadarmanagala Road, Kadugodi</t>
  </si>
  <si>
    <t>Mausumi Dutta Sahu and Sandip Sahu</t>
  </si>
  <si>
    <t>mduttasahu@oracle.com</t>
  </si>
  <si>
    <t>9886722650</t>
  </si>
  <si>
    <t>VILLA 6, WHITEFIELD BOULEVARD, WHITEFIELD HOSKOTE MAIN ROAD, SEEGAHALLI</t>
  </si>
  <si>
    <t>Arindam Ghosh</t>
  </si>
  <si>
    <t>gh.arindam@gmail.com</t>
  </si>
  <si>
    <t>9845257658</t>
  </si>
  <si>
    <t>Skylark Arcadia phase I, C37</t>
  </si>
  <si>
    <t>Krishna Chatterjee</t>
  </si>
  <si>
    <t>amrita.chatterjee001@gmail.com</t>
  </si>
  <si>
    <t>9739368646</t>
  </si>
  <si>
    <t>Parth Orchid Kadugodi</t>
  </si>
  <si>
    <t>Rabin pal</t>
  </si>
  <si>
    <t>rabin.pal@gmail.com</t>
  </si>
  <si>
    <t>9845582664</t>
  </si>
  <si>
    <t>Amrutha value, Borewell road whitefield</t>
  </si>
  <si>
    <t>Deepankar Mukherjee</t>
  </si>
  <si>
    <t>deepankar68@gmail.com</t>
  </si>
  <si>
    <t>8004927102</t>
  </si>
  <si>
    <t>Flat 340, H-Block, Trifecta Esplanade Apartments, Belthur Main Road, Kadugodi</t>
  </si>
  <si>
    <t>Trisha Banerjee</t>
  </si>
  <si>
    <t>trishabhattacharya@gmail.com</t>
  </si>
  <si>
    <t>9342437043</t>
  </si>
  <si>
    <t>Pruksa Silvana, Budigere Cross</t>
  </si>
  <si>
    <t>Roshan</t>
  </si>
  <si>
    <t>nidhikumarischool2020@gmail.com 7204279847</t>
  </si>
  <si>
    <t>Lumbini apartment</t>
  </si>
  <si>
    <t>7204279847</t>
  </si>
  <si>
    <t>Ashok Bose</t>
  </si>
  <si>
    <t>ashok.bose1@gmail.com</t>
  </si>
  <si>
    <t>9415630957</t>
  </si>
  <si>
    <t>Casa Gopalan, Borewell Road, Whitefield</t>
  </si>
  <si>
    <t>Aniruddha Patranabis</t>
  </si>
  <si>
    <t>aniruddha2512@yahoo.com</t>
  </si>
  <si>
    <t>9901943232</t>
  </si>
  <si>
    <t>NVR Sunpearl apartment, Block A</t>
  </si>
  <si>
    <t>Sambit Mukherjee</t>
  </si>
  <si>
    <t>shuktara11@gmail.com</t>
  </si>
  <si>
    <t>9740699078</t>
  </si>
  <si>
    <t>TrifectavEsplanade</t>
  </si>
  <si>
    <t>Gangadhar Mahato</t>
  </si>
  <si>
    <t>gangadhar.mto@gmail.com</t>
  </si>
  <si>
    <t>9513296193</t>
  </si>
  <si>
    <t>Mahaveer proemenade B2-816</t>
  </si>
  <si>
    <t>Ayushi Garg Bhattacharya garg.ayushi0906@gmail.com</t>
  </si>
  <si>
    <t>7032349204</t>
  </si>
  <si>
    <t>SMD altezz Kadugodi</t>
  </si>
  <si>
    <t>9885665024</t>
  </si>
  <si>
    <t>Anushka Banerjee</t>
  </si>
  <si>
    <t>abhi2084@gmail.com</t>
  </si>
  <si>
    <t>9379588445</t>
  </si>
  <si>
    <t>Shakthi Fairmint</t>
  </si>
  <si>
    <t>SOMA JANA</t>
  </si>
  <si>
    <t>somachandam@gmail.com</t>
  </si>
  <si>
    <t>9886036440</t>
  </si>
  <si>
    <t>Mahaveer Dazzle, Flat # 206, A - Block, 1st Floor Seetarampalya, Basavanagar, Hoodi, ITPL</t>
  </si>
  <si>
    <t>Anushka Saha</t>
  </si>
  <si>
    <t>saha.anushka@gmail.com</t>
  </si>
  <si>
    <t>9731303996</t>
  </si>
  <si>
    <t>Mahaveer Willet, Kadugodi</t>
  </si>
  <si>
    <t>Sabby</t>
  </si>
  <si>
    <t>sabby.mittra@gmail.com</t>
  </si>
  <si>
    <t>8319635638</t>
  </si>
  <si>
    <t>Amrutha Maple, Belathur</t>
  </si>
  <si>
    <t>Chakrabarty Dayita AvijeetDayita.chakrabarty.9@gmail.com</t>
  </si>
  <si>
    <t>8860728218</t>
  </si>
  <si>
    <t>Alpine Viva</t>
  </si>
  <si>
    <t>Saikat Ghosh</t>
  </si>
  <si>
    <t>saikatgh@gmail.com</t>
  </si>
  <si>
    <t>9830062715</t>
  </si>
  <si>
    <t>A1304, MJR PEARL APARTMENT Kadugodi</t>
  </si>
  <si>
    <t>Sukanta Ghosh</t>
  </si>
  <si>
    <t>sukantaghosh.cse@gmail.com</t>
  </si>
  <si>
    <t>9886440963</t>
  </si>
  <si>
    <t>Nakshatra Nestilo Apartment, B-306, Whitefield-66</t>
  </si>
  <si>
    <t>Kunal Sharma</t>
  </si>
  <si>
    <t>23kunalsharma@gmail.com</t>
  </si>
  <si>
    <t>8826253868</t>
  </si>
  <si>
    <t>49, Sri Prasunamba Nilayam, White Petals Layout, Nallurahalli, Beside Mahaveer Tranquil Building, Whitefield, Bangalore 560066</t>
  </si>
  <si>
    <t>Animesh sahani</t>
  </si>
  <si>
    <t>animeshsahani@gmail.com</t>
  </si>
  <si>
    <t>9535306218</t>
  </si>
  <si>
    <t>United Elysium 2, channasandra, Whitefield</t>
  </si>
  <si>
    <t>Rinika Ghosh</t>
  </si>
  <si>
    <t>rinikagh.1998@gmail.com</t>
  </si>
  <si>
    <t>7029436317</t>
  </si>
  <si>
    <t>Srinivasa Nilayam, 100, 4th Cross, Indira Canteen Road, Old Extension, Kadugodi, Whitefield Bangalore-560067</t>
  </si>
  <si>
    <t>Aatesh Ganguly</t>
  </si>
  <si>
    <t>gangulyaatesh@gmail.com</t>
  </si>
  <si>
    <t>8247200305</t>
  </si>
  <si>
    <t>Sandhya Residency</t>
  </si>
  <si>
    <t>Pannalal Ghosh</t>
  </si>
  <si>
    <t>ghosh.pannalal@gmail.com</t>
  </si>
  <si>
    <t>9632641971</t>
  </si>
  <si>
    <t>Trifecta Esplanade</t>
  </si>
  <si>
    <t>Suparna Aich Das</t>
  </si>
  <si>
    <t>suparna.0342@gmail.com</t>
  </si>
  <si>
    <t>9886528210</t>
  </si>
  <si>
    <t>Sobha Dream Acres, flat#46035, Balagere road, Panathur Main Road, Bangalore -560087</t>
  </si>
  <si>
    <t>Sanjay Saha</t>
  </si>
  <si>
    <t>sans.robes@gmail.com</t>
  </si>
  <si>
    <t>9748791954</t>
  </si>
  <si>
    <t>M370, Trifecta Esplanade</t>
  </si>
  <si>
    <t>Debashree Chakrabarty</t>
  </si>
  <si>
    <t>anekadda@gmail.com</t>
  </si>
  <si>
    <t>7815029120</t>
  </si>
  <si>
    <t>502, Mahaveer King’s Place, Kadugodi</t>
  </si>
  <si>
    <t>Manali Sarkar</t>
  </si>
  <si>
    <t>manalisarkar818@gmail.com</t>
  </si>
  <si>
    <t>9739640184</t>
  </si>
  <si>
    <t>Elite Belathur Apartment</t>
  </si>
  <si>
    <t>Sanghamitra Das</t>
  </si>
  <si>
    <t>sanghamitralokesh@gmail.com</t>
  </si>
  <si>
    <t>7829367166</t>
  </si>
  <si>
    <t>Shilpitha Royal</t>
  </si>
  <si>
    <t>Tathagato Sanyal</t>
  </si>
  <si>
    <t>tsanyal01@gmail.com</t>
  </si>
  <si>
    <t>8910077433</t>
  </si>
  <si>
    <t>MBR Suave Apartment Kadugodi Flat 104</t>
  </si>
  <si>
    <t>Sourav Mukhopadhyay</t>
  </si>
  <si>
    <t>swarnali.dm1907@gmail.com</t>
  </si>
  <si>
    <t>8248861098</t>
  </si>
  <si>
    <t>B806, SMD Altezz, Belathur colony, Kadugodi, Whitefield, Bengaluru-560067</t>
  </si>
  <si>
    <t>Shreya Mukherjee</t>
  </si>
  <si>
    <t>shreya221292@gmail.com</t>
  </si>
  <si>
    <t>7026070672</t>
  </si>
  <si>
    <t>001 Sri sai residency 13th main 12th A cross Sunshine Colony BTM 2nd stage Bangalore 560076</t>
  </si>
  <si>
    <t>Madan Adhikary</t>
  </si>
  <si>
    <t>madanjharna90@gmail.com</t>
  </si>
  <si>
    <t>7259675676</t>
  </si>
  <si>
    <t>Site No.9, Kurudusonnanehalli, Vinayaka Layout, Virgonagar Post, Bangalore 560049</t>
  </si>
  <si>
    <t>Pradyumna Kumar Chowdhury</t>
  </si>
  <si>
    <t>pchowdhury0702@gmail.com</t>
  </si>
  <si>
    <t>9844891326</t>
  </si>
  <si>
    <t>Griho, 18A, 1st Main 1st Cross, Whiterose Layout, Pattandur Agrahara, Whitefield</t>
  </si>
  <si>
    <t>Pritam Rakshit</t>
  </si>
  <si>
    <t>rohi.prit@gmail.com</t>
  </si>
  <si>
    <t>9886423573</t>
  </si>
  <si>
    <t>Kristal Citrine Apartment, Hoodi Kodigehalli Road,Opp Anugraha Layout</t>
  </si>
  <si>
    <t>Kaustav Chaki</t>
  </si>
  <si>
    <t>kaustavchaki@gmail.com</t>
  </si>
  <si>
    <t>9836144456</t>
  </si>
  <si>
    <t>SBR Keerthi</t>
  </si>
  <si>
    <t>Ankita Das, Madhusudan Das , Sonu Das, Suman Das</t>
  </si>
  <si>
    <t>ankitad649@gmail.com</t>
  </si>
  <si>
    <t>9833962457</t>
  </si>
  <si>
    <t>3306 , 2nd floor,Propulsive Pinnacle, Junior college Road, Kadugodi</t>
  </si>
  <si>
    <t>Jaideepp</t>
  </si>
  <si>
    <t>jaideep.jack@gmail.com</t>
  </si>
  <si>
    <t>8884625558</t>
  </si>
  <si>
    <t>Grs Marvel</t>
  </si>
  <si>
    <t>Saumojit Pal</t>
  </si>
  <si>
    <t>saumojit@gmail.com</t>
  </si>
  <si>
    <t>9986106324</t>
  </si>
  <si>
    <t>Alpine Fiesta, Hoodi</t>
  </si>
  <si>
    <t>Sukanta Nandi</t>
  </si>
  <si>
    <t>SUKANTANANDI1977@GMAIL.COM 8105984412</t>
  </si>
  <si>
    <t>Mahaveer Promenade, Belathur main road, Bangalore</t>
  </si>
  <si>
    <t>8105984412</t>
  </si>
  <si>
    <t>Devjani Seal</t>
  </si>
  <si>
    <t>devjani.seal@gmail.com</t>
  </si>
  <si>
    <t>9986682422</t>
  </si>
  <si>
    <t>Balaji Apt, Kaggadasapura</t>
  </si>
  <si>
    <t>Kunal Saha</t>
  </si>
  <si>
    <t>sahakunal86@gmail.com</t>
  </si>
  <si>
    <t>9739019028</t>
  </si>
  <si>
    <t>Rock Regency, Flat 103, 1st Cross, Kaggadasapura, Bangalore 560093</t>
  </si>
  <si>
    <t>Subarna Saha</t>
  </si>
  <si>
    <t>subarna.saha@gmail.com</t>
  </si>
  <si>
    <t>7338186206</t>
  </si>
  <si>
    <t>Flat S17 B1 Block Second Floor Prabhavathi Elegant Kumbena Agrahara Village Kadugodi Bengaluru 560067</t>
  </si>
  <si>
    <t>Agniswar Dasgupta</t>
  </si>
  <si>
    <t>agniswardg@gmail.com</t>
  </si>
  <si>
    <t>9739990001</t>
  </si>
  <si>
    <t>2175 Prestige Lakeside Habitat, Varthur, Bengaluru 560087</t>
  </si>
  <si>
    <t>Naba Kumar Saha</t>
  </si>
  <si>
    <t>nabakumar.saha@gmail.com</t>
  </si>
  <si>
    <t>9902522666</t>
  </si>
  <si>
    <t>B-109, Trifecta Esplanade, Belathur Village Road, Kadugodi, Bangalore Trifecta Esplanade</t>
  </si>
  <si>
    <t>Malay Kheto</t>
  </si>
  <si>
    <t>malay.aero@gmail.com</t>
  </si>
  <si>
    <t>8867120869</t>
  </si>
  <si>
    <t>SS Snowdrop Apartment, Belathur Main Road, Kadugodi, Bangalore</t>
  </si>
  <si>
    <t>Koushik Roy</t>
  </si>
  <si>
    <t>koushik.roy2007@gmail.com</t>
  </si>
  <si>
    <t>9591324093</t>
  </si>
  <si>
    <t>108, Swarna Meenakshi Prides,1st main 7th cross, Belathur</t>
  </si>
  <si>
    <t>Siddhartha Chakraborty</t>
  </si>
  <si>
    <t>sid041985@gmail.com</t>
  </si>
  <si>
    <t>9620684040</t>
  </si>
  <si>
    <t>Flat 109 Whitestone Milano, Belathur main road, K Dommasandra, Bangalore -49</t>
  </si>
  <si>
    <t>Siddhartha Basak</t>
  </si>
  <si>
    <t>sidbasak82@gmail.com</t>
  </si>
  <si>
    <t>9945683769</t>
  </si>
  <si>
    <t>Desai Golden Springs, B017, Ground floor, Seegehalli, Bengaluru 560067</t>
  </si>
  <si>
    <t>Shatabdi Roy</t>
  </si>
  <si>
    <t>roy.shatabdi20@gmail.com</t>
  </si>
  <si>
    <t>7263871303</t>
  </si>
  <si>
    <t>SMD ALTEZZ,Jr. Collage road,Kadugodi</t>
  </si>
  <si>
    <t>Abhilash Ganguly</t>
  </si>
  <si>
    <t>abhilashganguly11@gmail.com</t>
  </si>
  <si>
    <t>9038891228</t>
  </si>
  <si>
    <t>Shreshta Enclave , Flat 208, 2nd floor , Udaya Layout , Kodigehalli main road, Bengaluru- 560067</t>
  </si>
  <si>
    <t>Guru Prasad Paul</t>
  </si>
  <si>
    <t>guru771@gmail.com</t>
  </si>
  <si>
    <t>9850069785</t>
  </si>
  <si>
    <t>Maithri layout hopefarm</t>
  </si>
  <si>
    <t>Durba Sarkar</t>
  </si>
  <si>
    <t>durbasarkar22@gmail.com</t>
  </si>
  <si>
    <t>9036370254</t>
  </si>
  <si>
    <t>Alpine viva</t>
  </si>
  <si>
    <t>Surajit Dasgupta</t>
  </si>
  <si>
    <t>surajitdasgupta1@gmail.com</t>
  </si>
  <si>
    <t>9902788955</t>
  </si>
  <si>
    <t>821, Mahaveer Promenade, Kadugodi, Bangalore 560067</t>
  </si>
  <si>
    <t>Priya Ganguly Ghosh</t>
  </si>
  <si>
    <t>mainak.mac@gmail.com</t>
  </si>
  <si>
    <t>8910901220</t>
  </si>
  <si>
    <t>Belathur Main Road 302 sai balaji residency</t>
  </si>
  <si>
    <t>Agniv Dey</t>
  </si>
  <si>
    <t>agniv.dey@gmail.com</t>
  </si>
  <si>
    <t>8981707136</t>
  </si>
  <si>
    <t>Flat 001, Block B, Sidda Reddy Complex, Bangalore - 560067</t>
  </si>
  <si>
    <t>Saikat Sengupta</t>
  </si>
  <si>
    <t>kumarsen4u@yahoo.co.in</t>
  </si>
  <si>
    <t>9901231273</t>
  </si>
  <si>
    <t>A801 Mahaveer Promenade, Belthur Road, Kadugodi</t>
  </si>
  <si>
    <t>Shirsha Chatterjee</t>
  </si>
  <si>
    <t>c.shirsha@gmail.com</t>
  </si>
  <si>
    <t>8971541906</t>
  </si>
  <si>
    <t>MBR Suave, flat 108, Whitefield Hoskote Main road, Kadugodi, Bangalore 560067</t>
  </si>
  <si>
    <t>Amrita sarkar</t>
  </si>
  <si>
    <t>sarkaramrita686@gmail.com</t>
  </si>
  <si>
    <t>9618605381</t>
  </si>
  <si>
    <t>Msr crown impereals , sonnenahalli</t>
  </si>
  <si>
    <t>Oli Chatterjee</t>
  </si>
  <si>
    <t>olichatterjee27@gmail.com</t>
  </si>
  <si>
    <t>7760635923</t>
  </si>
  <si>
    <t>N 374 Trifecta Esplanade</t>
  </si>
  <si>
    <t>Haimanti Chaki Das</t>
  </si>
  <si>
    <t>Haimantichaki@gmail.com</t>
  </si>
  <si>
    <t>8100343009</t>
  </si>
  <si>
    <t>Gr Elysium3. Flat NoC003 .Jr.Collage Road Kadugodi Colony Bangalore 560067</t>
  </si>
  <si>
    <t>Bornali Mandal</t>
  </si>
  <si>
    <t>bornali.mandal@gmail.com</t>
  </si>
  <si>
    <t>8147528042</t>
  </si>
  <si>
    <t>E301, Alpine Fiesta, Hoodi Main Road Sakethanagar Krishnarajapuram Near Hoodi railway station Bangalore Karnataka</t>
  </si>
  <si>
    <t>Tania Sarkar</t>
  </si>
  <si>
    <t>work.saunak@gmail.com</t>
  </si>
  <si>
    <t>8240396545</t>
  </si>
  <si>
    <t>NVR Sunpearl Block B</t>
  </si>
  <si>
    <t>Rishiraj</t>
  </si>
  <si>
    <t>rishiraj.bhattacharjee@gmail.com</t>
  </si>
  <si>
    <t>9810189600</t>
  </si>
  <si>
    <t>Mera homes</t>
  </si>
  <si>
    <t>SUMIT HALDER</t>
  </si>
  <si>
    <t>sumitmum@gmail.com</t>
  </si>
  <si>
    <t>9831123650</t>
  </si>
  <si>
    <t>Sri Amethyst Apartment, Flat no 204, Kodigehalli Main Rd, Bangalore 560036</t>
  </si>
  <si>
    <t>Anirban Goswami</t>
  </si>
  <si>
    <t>goswamianirban65@gmail.com</t>
  </si>
  <si>
    <t>9051057468</t>
  </si>
  <si>
    <t>Srinivasa Nilayam 1 , Whitefield</t>
  </si>
  <si>
    <t>Sourav Chakraborty</t>
  </si>
  <si>
    <t>Sourav15feb@gmail.com</t>
  </si>
  <si>
    <t>9051083573</t>
  </si>
  <si>
    <t>My Enclave. House no 53,saicolony Extension. Belathur,KADUGODI, 560067</t>
  </si>
  <si>
    <t>Sabyasachi Mukherjee</t>
  </si>
  <si>
    <t>sabyasachi.mukherjee87@gmail.com9748650065</t>
  </si>
  <si>
    <t>Seegehalli-Karnamangala Road</t>
  </si>
  <si>
    <t>Prasenjit Sarkar</t>
  </si>
  <si>
    <t>rea.dey07@gmail.com</t>
  </si>
  <si>
    <t>9742488166</t>
  </si>
  <si>
    <t>Arfin Chowdhury</t>
  </si>
  <si>
    <t>joygen7@gmail.com</t>
  </si>
  <si>
    <t>9038708020</t>
  </si>
  <si>
    <t>MSC EMPRESS, KADUGODI</t>
  </si>
  <si>
    <t>Moumita Seal Moshat</t>
  </si>
  <si>
    <t>sealmoshat@gmail.com</t>
  </si>
  <si>
    <t>9844822345</t>
  </si>
  <si>
    <t>United Sai Arcade</t>
  </si>
  <si>
    <t>Seshadri Sekhar Das</t>
  </si>
  <si>
    <t>esesdree@gmail.com</t>
  </si>
  <si>
    <t>9830023265</t>
  </si>
  <si>
    <t>Propulsive Pinnacle</t>
  </si>
  <si>
    <t>Reena Lee and family</t>
  </si>
  <si>
    <t>reenaleejan@gmail.com</t>
  </si>
  <si>
    <t>9674936345</t>
  </si>
  <si>
    <t>B211 Sraddha Whitecliff, Seegahalli, Bengaluru -560067</t>
  </si>
  <si>
    <t>Barna De</t>
  </si>
  <si>
    <t>tamojitdester@gmail.com</t>
  </si>
  <si>
    <t>8095506659</t>
  </si>
  <si>
    <t>Sbr Pravanika</t>
  </si>
  <si>
    <t>Nondini Das</t>
  </si>
  <si>
    <t>nondiiniidas@gmail.com</t>
  </si>
  <si>
    <t>6362039441</t>
  </si>
  <si>
    <t>United Suncity</t>
  </si>
  <si>
    <t>Parmeeta Saha</t>
  </si>
  <si>
    <t>parmeeta.saha@gmail.com</t>
  </si>
  <si>
    <t>9650175800</t>
  </si>
  <si>
    <t>S21, Prabhavathi Elegant</t>
  </si>
  <si>
    <t>Paulami Chaki</t>
  </si>
  <si>
    <t>kaushikchaki@gmail.com</t>
  </si>
  <si>
    <t>9958077119</t>
  </si>
  <si>
    <t>Mera Homes, B701, Seegaehalli, whitefield main road, Bangalore -560115</t>
  </si>
  <si>
    <t>ATANU SARKAR</t>
  </si>
  <si>
    <t>ats.sarkar@gmail.com</t>
  </si>
  <si>
    <t>9008555099</t>
  </si>
  <si>
    <t>Flat#A318 Amrutha Sarovar</t>
  </si>
  <si>
    <t>Deep Moitra</t>
  </si>
  <si>
    <t>deep.moitra@gmail.com</t>
  </si>
  <si>
    <t>9910330563</t>
  </si>
  <si>
    <t>Gayathri Goodlife, Seegehalli-kannamangala Road, Seegehalli</t>
  </si>
  <si>
    <t>Ganesh Narayan</t>
  </si>
  <si>
    <t>ganeshprasadkn@gmail.com</t>
  </si>
  <si>
    <t>9482512363</t>
  </si>
  <si>
    <t>H904 Sumadhura Silver Ripples, Borewell Rd</t>
  </si>
  <si>
    <t>Soumitra Banerjee</t>
  </si>
  <si>
    <t>banerji.soumitra@gmail.com</t>
  </si>
  <si>
    <t>9741171004</t>
  </si>
  <si>
    <t>Amrutha Value, Borewell Road, Whitefield</t>
  </si>
  <si>
    <t>Debanjon</t>
  </si>
  <si>
    <t>debanjondey@gmail.com</t>
  </si>
  <si>
    <t>9900923843</t>
  </si>
  <si>
    <t>Trifecta esplanade apartment d 418</t>
  </si>
  <si>
    <t>Lalit Padhi</t>
  </si>
  <si>
    <t>lalitpadhi1983@gmail.com</t>
  </si>
  <si>
    <t>9900018031</t>
  </si>
  <si>
    <t>DSR Sunrise Towers, Channasandra, Whitefield</t>
  </si>
  <si>
    <t>Supriyo Nath</t>
  </si>
  <si>
    <t>Supriyonath1990@gmail.com</t>
  </si>
  <si>
    <t>7353141000</t>
  </si>
  <si>
    <t>A201, Shakthi Fairmont, Kumbena Agrahara, Bangalore 560067</t>
  </si>
  <si>
    <t>Sanjay Dandapat</t>
  </si>
  <si>
    <t>sanjay.dandapat78@gmail.com</t>
  </si>
  <si>
    <t>9036089911</t>
  </si>
  <si>
    <t>Amrutha Sarovar Apartment ,B 109 Saraswati</t>
  </si>
  <si>
    <t>Soumitra Chatterjee</t>
  </si>
  <si>
    <t>mrsoumitrachatterjee@gmail.com</t>
  </si>
  <si>
    <t>8762012063</t>
  </si>
  <si>
    <t>G1101 MJR Pearl, Whitefield Hoskote Road, Kadugodi, Bangalore 560067</t>
  </si>
  <si>
    <t>MANASHI CHAKRABORTYmanashieng@gmail.com</t>
  </si>
  <si>
    <t>7585082482</t>
  </si>
  <si>
    <t>SKYLARK ARCADIA PHASE 2</t>
  </si>
  <si>
    <t>Kaushik Bhandari</t>
  </si>
  <si>
    <t>koushik.k.bhandari@gmail.com</t>
  </si>
  <si>
    <t>7829798010</t>
  </si>
  <si>
    <t>Amrutha Maple</t>
  </si>
  <si>
    <t>Sourav Roy</t>
  </si>
  <si>
    <t>sourav.info111@gmail.com</t>
  </si>
  <si>
    <t>9874310555</t>
  </si>
  <si>
    <t>Brigade Golden Triangle, Santamanahalli.</t>
  </si>
  <si>
    <t>Poonam Kumari</t>
  </si>
  <si>
    <t>poonamkr123@gmail.com</t>
  </si>
  <si>
    <t>9500165506</t>
  </si>
  <si>
    <t>SS Snowdrop</t>
  </si>
  <si>
    <t>Debajit Dutta</t>
  </si>
  <si>
    <t>debajiteziodutta@outlook.com</t>
  </si>
  <si>
    <t>7602029347</t>
  </si>
  <si>
    <t>146, Wing2, United SunCity, Sadaramangala, Kadugodi Main Road, PO. Kadugodi, Dist: Krishnarajapuram, Bengaluru PIN: 560067</t>
  </si>
  <si>
    <t>Sagarika Mukherjee</t>
  </si>
  <si>
    <t>sagarika.mukherjer02@gmail.com</t>
  </si>
  <si>
    <t>8197407871</t>
  </si>
  <si>
    <t>Trifecta Esplanade, M block ,Flat no 471, Belathur Main road , Bangalore - 560067</t>
  </si>
  <si>
    <t>Payel Khaskel</t>
  </si>
  <si>
    <t>payelkhaskel99@gmail.com</t>
  </si>
  <si>
    <t>7439151092</t>
  </si>
  <si>
    <t>Rathnas sapthasri, sai colony, kadugodi, Bangalore-560067</t>
  </si>
  <si>
    <t>Arijit Saha</t>
  </si>
  <si>
    <t>arijitsaha101@gmail.com</t>
  </si>
  <si>
    <t>9902388077</t>
  </si>
  <si>
    <t>Flat 108, Whitestone Landmark, Belathur, Opp Suraksha Fairview, Kadugodi</t>
  </si>
  <si>
    <t>Lisa Sarkar Ghosh</t>
  </si>
  <si>
    <t>aritra.lisa@gmail.com</t>
  </si>
  <si>
    <t>8431368862</t>
  </si>
  <si>
    <t>Sai Balaji Residency, Belthur</t>
  </si>
  <si>
    <t>Rosy Dalal</t>
  </si>
  <si>
    <t>rosydalal34@gmail.com</t>
  </si>
  <si>
    <t>7760302900</t>
  </si>
  <si>
    <t>2 nd cross park road</t>
  </si>
  <si>
    <t>Nilanjana Sengupta</t>
  </si>
  <si>
    <t>nilanjana.neogi23@gmail.com</t>
  </si>
  <si>
    <t>9325370400</t>
  </si>
  <si>
    <t>Hilife Nature B319</t>
  </si>
  <si>
    <t>Jayanta Mazumder</t>
  </si>
  <si>
    <t>mazumderjayanta@gmail.com</t>
  </si>
  <si>
    <t>9972643174</t>
  </si>
  <si>
    <t>201 Sai Balaji Residency, Belathur, Kadugodi</t>
  </si>
  <si>
    <t>Pankaj Pandey</t>
  </si>
  <si>
    <t>pankaj.niet@gmail.com</t>
  </si>
  <si>
    <t>9990212758</t>
  </si>
  <si>
    <t>Urmimala</t>
  </si>
  <si>
    <t>urmimala.dutta35@gmail.com</t>
  </si>
  <si>
    <t>9880810955</t>
  </si>
  <si>
    <t>Mahaveer Kings Place</t>
  </si>
  <si>
    <t>Sarmistha Chakraborty</t>
  </si>
  <si>
    <t>Sarmishtha.chakraborty@gmail.com</t>
  </si>
  <si>
    <t>9538744487</t>
  </si>
  <si>
    <t>D307, SS Snowdrop Apartments, Belathur Main Road, Kumbena Agrahara, Kadugodi, Bengaluru, 560067</t>
  </si>
  <si>
    <t>Subhabrata Maity</t>
  </si>
  <si>
    <t>subhabratamaity200@gmail.com</t>
  </si>
  <si>
    <t>9874493614</t>
  </si>
  <si>
    <t>E601, Bollineni Silas, Belathur Main RD, Kadugodi, Bangalore- 560067</t>
  </si>
  <si>
    <t>Anirban Dasgupta</t>
  </si>
  <si>
    <t>anirbandasgupta32@gmail.com</t>
  </si>
  <si>
    <t>8910882272</t>
  </si>
  <si>
    <t>218, NVR Sunpearl Block A</t>
  </si>
  <si>
    <t>Nayna Debbarma</t>
  </si>
  <si>
    <t>gr8g.007@gmail.com</t>
  </si>
  <si>
    <t>9916839595</t>
  </si>
  <si>
    <t>Vaishnavi Gardenia, Dasarahalli</t>
  </si>
  <si>
    <t>Niladri Pramanik</t>
  </si>
  <si>
    <t>neels217@gmail.com</t>
  </si>
  <si>
    <t>8095078146</t>
  </si>
  <si>
    <t>P-285, Trifecta Esplanade</t>
  </si>
  <si>
    <t>Sumana Das</t>
  </si>
  <si>
    <t>Sumanasinha81@gmail.com</t>
  </si>
  <si>
    <t>9342545886</t>
  </si>
  <si>
    <t>4103, DSR SUNRISE Towers, Channasandra Main Road, Whitefield 560067</t>
  </si>
  <si>
    <t>Gourab Nag</t>
  </si>
  <si>
    <t>gourabnag1989@gmail.com</t>
  </si>
  <si>
    <t>7619487313</t>
  </si>
  <si>
    <t>B-312, Amrutha Sarovar</t>
  </si>
  <si>
    <t>Ayan Bhattacharya</t>
  </si>
  <si>
    <t>ayan_bhattacharya@hotmail.com</t>
  </si>
  <si>
    <t>9845775018</t>
  </si>
  <si>
    <t>911 Mahaveer Kings Place, Junior College Road, Kadugodi</t>
  </si>
  <si>
    <t>Piyali Basak</t>
  </si>
  <si>
    <t>piyali.pep@gmail.com</t>
  </si>
  <si>
    <t>9755962280</t>
  </si>
  <si>
    <t>DS Max Sherwood, Gunjur Palya, Varthur</t>
  </si>
  <si>
    <t>Arpita Mani</t>
  </si>
  <si>
    <t>arpita2u.k@gmail.com</t>
  </si>
  <si>
    <t>9916895233</t>
  </si>
  <si>
    <t>Gopalan habitat splendor, Flat-C102,Brookfield</t>
  </si>
  <si>
    <t>Krishanu Dey</t>
  </si>
  <si>
    <t>deykrishanuece@gmail.com</t>
  </si>
  <si>
    <t>7501609884</t>
  </si>
  <si>
    <t>Flat No. 203, Ushodaya Swara, Belathur Main Road, Opp Ayyappa Swami Temple, Bengaluru- 560067</t>
  </si>
  <si>
    <t>Shoubhik Chakraborty</t>
  </si>
  <si>
    <t>shoubhik.ckra@gmail.com</t>
  </si>
  <si>
    <t>8420109882</t>
  </si>
  <si>
    <t>United Elysium2 Apartments, Channasandra</t>
  </si>
  <si>
    <t>Avirup Mukherjee</t>
  </si>
  <si>
    <t>xtek1406@gmail.com</t>
  </si>
  <si>
    <t>9742409075</t>
  </si>
  <si>
    <t>NVR SUNPEARL, Block A, #305, junior college road, kumbena agrahara, Kadugodi</t>
  </si>
  <si>
    <t>Koustav Das</t>
  </si>
  <si>
    <t>das_koustav22@yahoo.com</t>
  </si>
  <si>
    <t>9874212363</t>
  </si>
  <si>
    <t>Mighty Meadows, Flat 321, Sy.No.28, Kumbena Agrahara, Belathur, Kadugodi, Bangalore - 560067</t>
  </si>
  <si>
    <t>Sunil Das</t>
  </si>
  <si>
    <t>sunilkumar.das224@gmail.com</t>
  </si>
  <si>
    <t>8050193717</t>
  </si>
  <si>
    <t>Na</t>
  </si>
  <si>
    <t>Abhijit Kumar</t>
  </si>
  <si>
    <t>abhijitmdp@gmail.com</t>
  </si>
  <si>
    <t>9916718387</t>
  </si>
  <si>
    <t>Shilpitha Royal 2B 102</t>
  </si>
  <si>
    <t>Prasenjit Deb</t>
  </si>
  <si>
    <t>prasenjitdeb@rediffmail.com</t>
  </si>
  <si>
    <t>9435045906</t>
  </si>
  <si>
    <t>Lotus Krest Phase I, SF-13/14, 7TH CROSS ROADGreen domain layout, Kundalahalli</t>
  </si>
  <si>
    <t>Gunjita</t>
  </si>
  <si>
    <t>gunjita.dey@gmail.com</t>
  </si>
  <si>
    <t>9632026424</t>
  </si>
  <si>
    <t>SV ARALIA , belathur main road</t>
  </si>
  <si>
    <t>Monica Roy Chowdhury</t>
  </si>
  <si>
    <t>monicaroychowdhury@gmail.com</t>
  </si>
  <si>
    <t>9500103660</t>
  </si>
  <si>
    <t>424, Keerthi Heights, Belathur</t>
  </si>
  <si>
    <t>Tuhin Chowdhury</t>
  </si>
  <si>
    <t>tuhin.chowdhury08@gmail.com</t>
  </si>
  <si>
    <t>8334968616</t>
  </si>
  <si>
    <t>301, Mighty Meadows, Kumbena Agrahara</t>
  </si>
  <si>
    <t>Sanghamitra Chaudhary</t>
  </si>
  <si>
    <t>sanghamitra.chaudhary@gmail.com</t>
  </si>
  <si>
    <t>7090170787</t>
  </si>
  <si>
    <t>balaji serenity, G-24 , glass factory layout, heelalige road. Electronic City phase 2, Bengaluru, Karnataka-560099</t>
  </si>
  <si>
    <t>Manas Mandal</t>
  </si>
  <si>
    <t>manas-mandal@hotmail.com</t>
  </si>
  <si>
    <t>7541985975</t>
  </si>
  <si>
    <t>Flat No. 123, SV Elegant, (Near National Public SCHOOL) Belathur, Kadugodi</t>
  </si>
  <si>
    <t>Dilip Das</t>
  </si>
  <si>
    <t>ddindia2015@gmail.com</t>
  </si>
  <si>
    <t>7259188025</t>
  </si>
  <si>
    <t>103, UDBHAV BRUNDAVAN, 2nd Main Maithri layout Hope Farm, Whitefield, Bangalore 560066</t>
  </si>
  <si>
    <t>Sanchita Mahanty</t>
  </si>
  <si>
    <t>sanchitamhnt0@gmail.com</t>
  </si>
  <si>
    <t>9686503072</t>
  </si>
  <si>
    <t>B306, Vijaya Sai Lumbini Apartment, Belathur,Kadugodi</t>
  </si>
  <si>
    <t>Swagata Bhowmik</t>
  </si>
  <si>
    <t>swagata.it@gmail.com</t>
  </si>
  <si>
    <t>9916397384</t>
  </si>
  <si>
    <t>SMD Altezz, Junior college road, Kadugodi</t>
  </si>
  <si>
    <t>Mira Majumdar</t>
  </si>
  <si>
    <t>majumdarmira@gmail.com</t>
  </si>
  <si>
    <t>9663604433</t>
  </si>
  <si>
    <t>G2 Sr villa kodegehalli main road kr puram</t>
  </si>
  <si>
    <t>Mrinmoy Das</t>
  </si>
  <si>
    <t>mrinmoydas3011@gmail.com</t>
  </si>
  <si>
    <t>6361375162</t>
  </si>
  <si>
    <t>202, 2nd Floor, Sri Anuradha Heights, Plot Number: 60, GJM ECC White Gardens, Near Basil Woods Pre-school academy, Whitefield, Bangalore, 560066</t>
  </si>
  <si>
    <t>SANDEEP BISWAS</t>
  </si>
  <si>
    <t>biswas_sandeep@hotmail.com</t>
  </si>
  <si>
    <t>8296912846</t>
  </si>
  <si>
    <t>B212, Amrutha Sarovar</t>
  </si>
  <si>
    <t>Pradip Banerjee</t>
  </si>
  <si>
    <t>pradipbanerjee0207@gmail.com</t>
  </si>
  <si>
    <t>9826161601</t>
  </si>
  <si>
    <t>Skylar Arcadia</t>
  </si>
  <si>
    <t>Kaushik das gupta</t>
  </si>
  <si>
    <t>koushik.kaushiks7im@yahoo.co.in 9901895150</t>
  </si>
  <si>
    <t>SV ARALIA flat 002 Bellathur</t>
  </si>
  <si>
    <t>9901895150</t>
  </si>
  <si>
    <t>Apurba Bhattacharya</t>
  </si>
  <si>
    <t>apurbabhattacharya5@gmail.com</t>
  </si>
  <si>
    <t>9742621657</t>
  </si>
  <si>
    <t>H-22, Skylark Arcadia Phase 2</t>
  </si>
  <si>
    <t>Koustov</t>
  </si>
  <si>
    <t>koustov@gmail.com</t>
  </si>
  <si>
    <t>9986093380</t>
  </si>
  <si>
    <t>VS Sai Ashraya</t>
  </si>
  <si>
    <t>Prasenjit Basu</t>
  </si>
  <si>
    <t>prasenjitbasu0@gmail.com</t>
  </si>
  <si>
    <t>9845169690</t>
  </si>
  <si>
    <t>I 447, Trifecta Esplanade, Belthur</t>
  </si>
  <si>
    <t>Pravash</t>
  </si>
  <si>
    <t>pravashkarn@gmail.com</t>
  </si>
  <si>
    <t>9663761062</t>
  </si>
  <si>
    <t>SEG, Doddabanahalli</t>
  </si>
  <si>
    <t>Satrajit Kar</t>
  </si>
  <si>
    <t>satrajitk@gmail.com</t>
  </si>
  <si>
    <t>9900216546</t>
  </si>
  <si>
    <t>Belathur Road G136, Trifecta Esplanade</t>
  </si>
  <si>
    <t>Rakesh Mahato</t>
  </si>
  <si>
    <t>rakesh.mahato78@gmail.com</t>
  </si>
  <si>
    <t>9900153813</t>
  </si>
  <si>
    <t>Brigade Eldorado, F1302, KIADB Aerospace park, Bagalur 562149</t>
  </si>
  <si>
    <t>Sudeshna Halder</t>
  </si>
  <si>
    <t>haldar8@gmail.com</t>
  </si>
  <si>
    <t>9899393977</t>
  </si>
  <si>
    <t>VS sai Ashraya apartment, belathur main road, Kadu</t>
  </si>
  <si>
    <t>Pragnya Parida</t>
  </si>
  <si>
    <t>pragnya.parida05@gmail.com</t>
  </si>
  <si>
    <t>8884841421</t>
  </si>
  <si>
    <t>Splendid eternity, Hoodi</t>
  </si>
  <si>
    <t>Swaraj Das</t>
  </si>
  <si>
    <t>swarajdas23@gmail.com</t>
  </si>
  <si>
    <t>9674000465</t>
  </si>
  <si>
    <t>Ushodaya Pallavi Apartment, Flat No.- 313, Block - B, 92/2, Belathur Main Road, Bengaluru - 560067</t>
  </si>
  <si>
    <t>Debabrata Darkar</t>
  </si>
  <si>
    <t>debabratas@gmail.com</t>
  </si>
  <si>
    <t>9845344808</t>
  </si>
  <si>
    <t>E902 Sumadhura Shikharam, Seegehalli</t>
  </si>
  <si>
    <t>K Madhukar Anant</t>
  </si>
  <si>
    <t>madhukaranant@gmail.com</t>
  </si>
  <si>
    <t>8971101844</t>
  </si>
  <si>
    <t>Madhukar</t>
  </si>
  <si>
    <t>Saurav Gupta</t>
  </si>
  <si>
    <t>sauravblr170@gmail.com</t>
  </si>
  <si>
    <t>9972472697</t>
  </si>
  <si>
    <t>A118, Amrutha Sarovar Apartment, Belathur Main Road, Belathur 560067</t>
  </si>
  <si>
    <t>Kinkar sarkar</t>
  </si>
  <si>
    <t>sarkarkinkar@yahoo.com</t>
  </si>
  <si>
    <t>8970396609</t>
  </si>
  <si>
    <t>Vs sai ashraya apartment</t>
  </si>
  <si>
    <t>Titas Mallick</t>
  </si>
  <si>
    <t>titas2810@gmail.com</t>
  </si>
  <si>
    <t>9871467700</t>
  </si>
  <si>
    <t>DSilva Layout</t>
  </si>
  <si>
    <t>Arunashish Chatterjee</t>
  </si>
  <si>
    <t>arunashish1973@gmail.com</t>
  </si>
  <si>
    <t>9886894280</t>
  </si>
  <si>
    <t>Prime Manshion Apt</t>
  </si>
  <si>
    <t>Shriti</t>
  </si>
  <si>
    <t>iloveshriti@gmail.com</t>
  </si>
  <si>
    <t>9902158844</t>
  </si>
  <si>
    <t>Skylark Arcadia phase 1 house no 72</t>
  </si>
  <si>
    <t>Sayani Chatterjee</t>
  </si>
  <si>
    <t>chhatterjeesayani7@gmail.com</t>
  </si>
  <si>
    <t>7795145043</t>
  </si>
  <si>
    <t>Ushodaya Raaga, Belathur Main Road, Kadugodi, Whitefield</t>
  </si>
  <si>
    <t>Debashish Paul</t>
  </si>
  <si>
    <t>debasish1609@gmail.com</t>
  </si>
  <si>
    <t>7259367874</t>
  </si>
  <si>
    <t>Sandeep Vihar</t>
  </si>
  <si>
    <t>Piyali Chatterjee</t>
  </si>
  <si>
    <t>piyalichatterjee2407@gmail.com</t>
  </si>
  <si>
    <t>8296587117</t>
  </si>
  <si>
    <t>D319, Trifecta Esplanade</t>
  </si>
  <si>
    <t>Subrata Kumar Mondal</t>
  </si>
  <si>
    <t>subrataforself@gmail.com</t>
  </si>
  <si>
    <t>8972178203</t>
  </si>
  <si>
    <t>201, Site 77, Green Avenue Layout, Kodigehalli, kurudusonnenhalli main road , Bangalore 560067</t>
  </si>
  <si>
    <t>Surajit Biswas</t>
  </si>
  <si>
    <t>surajitbiswas1985@gmail.com</t>
  </si>
  <si>
    <t>9980826413</t>
  </si>
  <si>
    <t>Splendid Sree Durga Apartment</t>
  </si>
  <si>
    <t>Shiv Shankar Jaiswal</t>
  </si>
  <si>
    <t>shankarjswl@gmail.com</t>
  </si>
  <si>
    <t>9342882245</t>
  </si>
  <si>
    <t>Purab Manor, Seegehalli</t>
  </si>
  <si>
    <t>Pabitra Mondal</t>
  </si>
  <si>
    <t>pabitra1997mondal@gmail.com</t>
  </si>
  <si>
    <t>8197445172</t>
  </si>
  <si>
    <t>SRN Samruddhi Nivas</t>
  </si>
  <si>
    <t>Subir Choudhury</t>
  </si>
  <si>
    <t>subir362@gmail.com</t>
  </si>
  <si>
    <t>9620047901</t>
  </si>
  <si>
    <t>A308, SV heights, opposite Maithri Layout Hopefarm</t>
  </si>
  <si>
    <t>T. Yuva Raju</t>
  </si>
  <si>
    <t>raju.yuvraj22@gmail.com</t>
  </si>
  <si>
    <t>8892476695</t>
  </si>
  <si>
    <t>Sai sarovar Apartment, Flat 404, Belathur Main road, Kadugodi</t>
  </si>
  <si>
    <t>Sunayan Sarkar</t>
  </si>
  <si>
    <t>sunayan.sarkar2018@gmail.com</t>
  </si>
  <si>
    <t>7204097535</t>
  </si>
  <si>
    <t>Viveks Sanskaar apartment</t>
  </si>
  <si>
    <t>Debika Debnath</t>
  </si>
  <si>
    <t>debika.dn@gmail.com</t>
  </si>
  <si>
    <t>9566526183</t>
  </si>
  <si>
    <t>Mahaveer promenade</t>
  </si>
  <si>
    <t>Simanth Pal</t>
  </si>
  <si>
    <t>simanth1291@gmail.com</t>
  </si>
  <si>
    <t>8217051557</t>
  </si>
  <si>
    <t>33, KODIGEHALLI Main road .</t>
  </si>
  <si>
    <t>Status list</t>
  </si>
  <si>
    <t>Call Back</t>
  </si>
  <si>
    <t>Payment Status list</t>
  </si>
  <si>
    <t>Interested</t>
  </si>
  <si>
    <t>No Response</t>
  </si>
  <si>
    <t>Not Interested</t>
  </si>
  <si>
    <t>Not Reachable</t>
  </si>
  <si>
    <t>Wrong Number</t>
  </si>
  <si>
    <t>Amount (INR)</t>
  </si>
  <si>
    <t>Status</t>
  </si>
  <si>
    <t>Payment Made</t>
  </si>
  <si>
    <t>Payment Not Made</t>
  </si>
  <si>
    <t>Membership Type list</t>
  </si>
  <si>
    <t>Existing Member</t>
  </si>
  <si>
    <t>New Member</t>
  </si>
  <si>
    <t>Solo (Existing Member)</t>
  </si>
  <si>
    <t>Solo (New Member)</t>
  </si>
  <si>
    <t>Amount (INR) list</t>
  </si>
  <si>
    <t>₹6,000</t>
  </si>
  <si>
    <t>₹5,500</t>
  </si>
  <si>
    <t>₹2,200</t>
  </si>
  <si>
    <t>₹2,500</t>
  </si>
  <si>
    <t>AAROHAN DURGA PUJA 2026 — MEMBER LIST</t>
  </si>
  <si>
    <t>জয় মা দুর্গা</t>
  </si>
  <si>
    <t>Payment Date list</t>
  </si>
  <si>
    <t>Done</t>
  </si>
  <si>
    <t>Comments</t>
  </si>
  <si>
    <t>S NO</t>
  </si>
  <si>
    <t>Donation/Sponsor</t>
  </si>
  <si>
    <t>AAROHAN DURGA PUJA 2026 — EXECUTIVE SUMMARY</t>
  </si>
  <si>
    <t>Live summary of member status, payment collection, and donation amount from the member list</t>
  </si>
  <si>
    <t>Total Members</t>
  </si>
  <si>
    <t>Total Membership Amount</t>
  </si>
  <si>
    <t>Total Donation Amount</t>
  </si>
  <si>
    <t>Grand Total Collection</t>
  </si>
  <si>
    <t>Status Updated</t>
  </si>
  <si>
    <t>Status Pending</t>
  </si>
  <si>
    <t>Members</t>
  </si>
  <si>
    <t>Membership Amount</t>
  </si>
  <si>
    <t>Total Amount</t>
  </si>
  <si>
    <t>Blank / Not Updated</t>
  </si>
  <si>
    <t>Follow-up Status</t>
  </si>
  <si>
    <t>niloy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</si>
</sst>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\₹#,##0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7F6000"/>
      <name val="Calibri"/>
      <family val="2"/>
      <scheme val="minor"/>
    </font>
    <font>
      <b/>
      <i/>
      <sz val="14"/>
      <color rgb="FF7F600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2" fillId="0" borderId="3" xfId="0" applyFont="1" applyBorder="1" applyAlignment="1">
      <alignment horizontal="left" vertical="top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5" fontId="2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4" xfId="0" applyBorder="1"/>
    <xf numFmtId="0" fontId="6" fillId="5" borderId="4" xfId="0" applyFont="1" applyFill="1" applyBorder="1" applyAlignment="1">
      <alignment horizontal="center"/>
    </xf>
    <xf numFmtId="0" fontId="3" fillId="3" borderId="4" xfId="0" applyFont="1" applyFill="1" applyBorder="1"/>
    <xf numFmtId="165" fontId="3" fillId="4" borderId="4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3" fontId="0" fillId="0" borderId="4" xfId="0" applyNumberFormat="1" applyBorder="1"/>
    <xf numFmtId="3" fontId="0" fillId="0" borderId="0" xfId="0" applyNumberFormat="1"/>
    <xf numFmtId="3" fontId="6" fillId="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165" fontId="6" fillId="5" borderId="4" xfId="0" applyNumberFormat="1" applyFont="1" applyFill="1" applyBorder="1" applyAlignment="1">
      <alignment horizontal="center"/>
    </xf>
    <xf numFmtId="0" fontId="11" fillId="0" borderId="0" xfId="0" applyFont="1"/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color rgb="FF375623"/>
      </font>
      <fill>
        <patternFill patternType="solid">
          <fgColor indexed="64"/>
          <bgColor rgb="FFE2F0D9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375623"/>
      </font>
      <fill>
        <patternFill patternType="solid">
          <fgColor indexed="64"/>
          <bgColor rgb="FFE2F0D9"/>
        </patternFill>
      </fill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₹#,##0"/>
      <alignment horizontal="center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m/yyyy"/>
      <alignment horizontal="left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m/yyyy"/>
      <alignment horizontal="center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₹#,##0"/>
      <alignment horizontal="center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C2AB7-5108-4888-BD3E-2CB49DFCB57C}" name="AarohanMemberList2026" displayName="AarohanMemberList2026" ref="B3:Q175" totalsRowShown="0" headerRowDxfId="19" tableBorderDxfId="18">
  <autoFilter ref="B3:Q175" xr:uid="{37AC2AB7-5108-4888-BD3E-2CB49DFCB57C}"/>
  <tableColumns count="16">
    <tableColumn id="1" xr3:uid="{DB9E088C-4B57-4706-9E36-BCF2DAB74C6F}" name="Name" dataDxfId="17"/>
    <tableColumn id="2" xr3:uid="{A997A2DF-75D4-42BD-BC08-C50722964690}" name="Email" dataDxfId="16"/>
    <tableColumn id="3" xr3:uid="{1F7C0E55-E2BA-40FF-B343-800F8FB80F69}" name="Mobile Number" dataDxfId="15"/>
    <tableColumn id="4" xr3:uid="{55A5BD6B-4763-4909-B145-4A8BCC3CEBE0}" name="Address" dataDxfId="14"/>
    <tableColumn id="5" xr3:uid="{A1C07501-548D-4B31-A960-735231EF9417}" name="Children Below 5" dataDxfId="13"/>
    <tableColumn id="6" xr3:uid="{35EA7A99-6AC6-44DE-9E65-E6517076C374}" name="Children 5-12" dataDxfId="12"/>
    <tableColumn id="7" xr3:uid="{C49B54AA-235B-4513-9C26-5C42FD907681}" name="Adults" dataDxfId="11"/>
    <tableColumn id="8" xr3:uid="{12B4F4AA-14E0-4673-9FCD-71F54D6BD3B1}" name="Membership Type" dataDxfId="10"/>
    <tableColumn id="10" xr3:uid="{01CB3D0A-A691-4F4C-978E-EBD5B27EEA9D}" name="Amount (INR)" dataDxfId="9">
      <calculatedColumnFormula array="1">_xlfn.SWITCH(TRIM(I4),"New Member",6000,"Existing Member",5500,"Solo (New Member)",2500,"Solo (Existing Member)",2200,"")</calculatedColumnFormula>
    </tableColumn>
    <tableColumn id="11" xr3:uid="{873B1666-BF5E-4888-B8E7-EE63379EA96B}" name="Payment Date" dataDxfId="8"/>
    <tableColumn id="17" xr3:uid="{0F0EBA50-97E2-4CA1-985E-B05FC1803630}" name="Donation/Sponsor" dataDxfId="7"/>
    <tableColumn id="18" xr3:uid="{4CFD781F-3570-4F9F-9DC1-8661B44061E9}" name="Donation Amount" dataDxfId="6"/>
    <tableColumn id="12" xr3:uid="{9A108520-0760-4426-B3EC-95B79CAC39A4}" name="Committee Interest" dataDxfId="5"/>
    <tableColumn id="13" xr3:uid="{28EDF057-F204-46B8-B5C4-96C1976F1CA0}" name="Payment Status" dataDxfId="4"/>
    <tableColumn id="14" xr3:uid="{0DF0E3A4-889A-414D-AC3C-680D6FE7B584}" name="Status" dataDxfId="3"/>
    <tableColumn id="16" xr3:uid="{190C409A-38EC-424B-9EB9-50ABA9831F38}" name="Comment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AFA4-E0FA-4430-A558-F7EF60C7EE1D}">
  <dimension ref="A1:K24"/>
  <sheetViews>
    <sheetView topLeftCell="A4" workbookViewId="0">
      <selection activeCell="G27" sqref="G27"/>
    </sheetView>
  </sheetViews>
  <sheetFormatPr defaultRowHeight="14.4" x14ac:dyDescent="0.3"/>
  <cols>
    <col min="1" max="1" width="27.5546875" customWidth="1"/>
    <col min="2" max="2" width="14.33203125" customWidth="1"/>
    <col min="3" max="3" width="21.88671875" customWidth="1"/>
    <col min="4" max="4" width="21" customWidth="1"/>
    <col min="5" max="5" width="20" customWidth="1"/>
    <col min="6" max="6" width="3.44140625" customWidth="1"/>
    <col min="7" max="7" width="27.5546875" customWidth="1"/>
    <col min="8" max="8" width="14.33203125" customWidth="1"/>
    <col min="9" max="9" width="21.88671875" customWidth="1"/>
    <col min="10" max="10" width="21" customWidth="1"/>
    <col min="11" max="11" width="20" customWidth="1"/>
  </cols>
  <sheetData>
    <row r="1" spans="1:11" ht="23.4" x14ac:dyDescent="0.45">
      <c r="A1" s="37" t="s">
        <v>734</v>
      </c>
      <c r="B1" s="37"/>
      <c r="C1" s="37"/>
      <c r="D1" s="37"/>
      <c r="E1" s="37"/>
      <c r="F1" s="37"/>
      <c r="G1" s="37"/>
      <c r="H1" s="37"/>
    </row>
    <row r="2" spans="1:11" x14ac:dyDescent="0.3">
      <c r="A2" s="38" t="s">
        <v>735</v>
      </c>
      <c r="B2" s="38"/>
      <c r="C2" s="38"/>
      <c r="D2" s="38"/>
      <c r="E2" s="38"/>
      <c r="F2" s="38"/>
      <c r="G2" s="38"/>
      <c r="H2" s="38"/>
    </row>
    <row r="4" spans="1:11" x14ac:dyDescent="0.3">
      <c r="A4" s="26" t="s">
        <v>736</v>
      </c>
      <c r="B4" s="28">
        <f>COUNTA(AarohanMemberList2026[Name])</f>
        <v>172</v>
      </c>
      <c r="D4" s="26" t="s">
        <v>715</v>
      </c>
      <c r="E4" s="28">
        <f>COUNTIF(AarohanMemberList2026[Payment Status],"Payment Made")</f>
        <v>6</v>
      </c>
    </row>
    <row r="5" spans="1:11" x14ac:dyDescent="0.3">
      <c r="A5" s="26" t="s">
        <v>737</v>
      </c>
      <c r="B5" s="27">
        <f>SUM(AarohanMemberList2026[Amount (INR)])</f>
        <v>36200</v>
      </c>
      <c r="D5" s="26" t="s">
        <v>716</v>
      </c>
      <c r="E5" s="28">
        <f>COUNTIF(AarohanMemberList2026[Payment Status],"Payment Not Made")</f>
        <v>0</v>
      </c>
    </row>
    <row r="6" spans="1:11" x14ac:dyDescent="0.3">
      <c r="A6" s="26" t="s">
        <v>738</v>
      </c>
      <c r="B6" s="27">
        <f>SUM(AarohanMemberList2026[Donation Amount])</f>
        <v>10000</v>
      </c>
      <c r="D6" s="26" t="s">
        <v>740</v>
      </c>
      <c r="E6" s="28">
        <f>COUNTIF(AarohanMemberList2026[Status],"&lt;&gt;")</f>
        <v>1</v>
      </c>
    </row>
    <row r="7" spans="1:11" x14ac:dyDescent="0.3">
      <c r="A7" s="26" t="s">
        <v>739</v>
      </c>
      <c r="B7" s="27">
        <f>B5+B6</f>
        <v>46200</v>
      </c>
      <c r="D7" s="26" t="s">
        <v>741</v>
      </c>
      <c r="E7" s="28">
        <f>COUNTBLANK(AarohanMemberList2026[Status])</f>
        <v>171</v>
      </c>
    </row>
    <row r="10" spans="1:11" x14ac:dyDescent="0.3">
      <c r="A10" s="25" t="s">
        <v>11</v>
      </c>
      <c r="B10" s="25" t="s">
        <v>742</v>
      </c>
      <c r="C10" s="25" t="s">
        <v>743</v>
      </c>
      <c r="D10" s="25" t="s">
        <v>8</v>
      </c>
      <c r="E10" s="25" t="s">
        <v>744</v>
      </c>
      <c r="G10" s="25" t="s">
        <v>7</v>
      </c>
      <c r="H10" s="25" t="s">
        <v>742</v>
      </c>
      <c r="I10" s="25" t="s">
        <v>743</v>
      </c>
      <c r="J10" s="25" t="s">
        <v>8</v>
      </c>
      <c r="K10" s="25" t="s">
        <v>744</v>
      </c>
    </row>
    <row r="11" spans="1:11" x14ac:dyDescent="0.3">
      <c r="A11" s="24" t="s">
        <v>715</v>
      </c>
      <c r="B11" s="29">
        <f>COUNTIF(AarohanMemberList2026[Payment Status],A11)</f>
        <v>6</v>
      </c>
      <c r="C11" s="32">
        <f>SUMIFS(AarohanMemberList2026[Amount (INR)],AarohanMemberList2026[Payment Status],A11)</f>
        <v>31500</v>
      </c>
      <c r="D11" s="32">
        <f>SUMIFS(AarohanMemberList2026[Donation Amount],AarohanMemberList2026[Payment Status],A11)</f>
        <v>10000</v>
      </c>
      <c r="E11" s="32">
        <f>C11+D11</f>
        <v>41500</v>
      </c>
      <c r="G11" s="24" t="s">
        <v>718</v>
      </c>
      <c r="H11" s="29">
        <f>COUNTIF(AarohanMemberList2026[Membership Type],G11)</f>
        <v>2</v>
      </c>
      <c r="I11" s="32">
        <f>SUMIFS(AarohanMemberList2026[Amount (INR)],AarohanMemberList2026[Membership Type],G11)</f>
        <v>11000</v>
      </c>
      <c r="J11" s="32">
        <f>SUMIFS(AarohanMemberList2026[Donation Amount],AarohanMemberList2026[Membership Type],G11)</f>
        <v>0</v>
      </c>
      <c r="K11" s="32">
        <f>I11+J11</f>
        <v>11000</v>
      </c>
    </row>
    <row r="12" spans="1:11" x14ac:dyDescent="0.3">
      <c r="A12" s="24" t="s">
        <v>716</v>
      </c>
      <c r="B12" s="29">
        <f>COUNTIF(AarohanMemberList2026[Payment Status],A12)</f>
        <v>0</v>
      </c>
      <c r="C12" s="32">
        <f>SUMIFS(AarohanMemberList2026[Amount (INR)],AarohanMemberList2026[Payment Status],A12)</f>
        <v>0</v>
      </c>
      <c r="D12" s="32">
        <f>SUMIFS(AarohanMemberList2026[Donation Amount],AarohanMemberList2026[Payment Status],A12)</f>
        <v>0</v>
      </c>
      <c r="E12" s="32">
        <f>C12+D12</f>
        <v>0</v>
      </c>
      <c r="G12" s="24" t="s">
        <v>719</v>
      </c>
      <c r="H12" s="29">
        <f>COUNTIF(AarohanMemberList2026[Membership Type],G12)</f>
        <v>3</v>
      </c>
      <c r="I12" s="32">
        <f>SUMIFS(AarohanMemberList2026[Amount (INR)],AarohanMemberList2026[Membership Type],G12)</f>
        <v>18000</v>
      </c>
      <c r="J12" s="32">
        <f>SUMIFS(AarohanMemberList2026[Donation Amount],AarohanMemberList2026[Membership Type],G12)</f>
        <v>10000</v>
      </c>
      <c r="K12" s="32">
        <f>I12+J12</f>
        <v>28000</v>
      </c>
    </row>
    <row r="13" spans="1:11" x14ac:dyDescent="0.3">
      <c r="A13" s="24" t="s">
        <v>745</v>
      </c>
      <c r="B13" s="29">
        <f>COUNTBLANK(AarohanMemberList2026[Payment Status])</f>
        <v>166</v>
      </c>
      <c r="C13" s="32">
        <f>SUMIFS(AarohanMemberList2026[Amount (INR)],AarohanMemberList2026[Payment Status],"")</f>
        <v>4700</v>
      </c>
      <c r="D13" s="32">
        <f>SUMIFS(AarohanMemberList2026[Donation Amount],AarohanMemberList2026[Payment Status],"")</f>
        <v>0</v>
      </c>
      <c r="E13" s="32">
        <f>C13+D13</f>
        <v>4700</v>
      </c>
      <c r="G13" s="24" t="s">
        <v>720</v>
      </c>
      <c r="H13" s="29">
        <f>COUNTIF(AarohanMemberList2026[Membership Type],G13)</f>
        <v>1</v>
      </c>
      <c r="I13" s="32">
        <f>SUMIFS(AarohanMemberList2026[Amount (INR)],AarohanMemberList2026[Membership Type],G13)</f>
        <v>2200</v>
      </c>
      <c r="J13" s="32">
        <f>SUMIFS(AarohanMemberList2026[Donation Amount],AarohanMemberList2026[Membership Type],G13)</f>
        <v>0</v>
      </c>
      <c r="K13" s="32">
        <f>I13+J13</f>
        <v>2200</v>
      </c>
    </row>
    <row r="14" spans="1:11" x14ac:dyDescent="0.3">
      <c r="B14" s="30"/>
      <c r="C14" s="7"/>
      <c r="D14" s="7"/>
      <c r="E14" s="7"/>
      <c r="G14" s="24" t="s">
        <v>721</v>
      </c>
      <c r="H14" s="29">
        <f>COUNTIF(AarohanMemberList2026[Membership Type],G14)</f>
        <v>2</v>
      </c>
      <c r="I14" s="32">
        <f>SUMIFS(AarohanMemberList2026[Amount (INR)],AarohanMemberList2026[Membership Type],G14)</f>
        <v>5000</v>
      </c>
      <c r="J14" s="32">
        <f>SUMIFS(AarohanMemberList2026[Donation Amount],AarohanMemberList2026[Membership Type],G14)</f>
        <v>0</v>
      </c>
      <c r="K14" s="32">
        <f>I14+J14</f>
        <v>5000</v>
      </c>
    </row>
    <row r="15" spans="1:11" x14ac:dyDescent="0.3">
      <c r="B15" s="30"/>
      <c r="C15" s="7"/>
      <c r="D15" s="7"/>
      <c r="E15" s="7"/>
    </row>
    <row r="16" spans="1:11" x14ac:dyDescent="0.3">
      <c r="A16" s="25" t="s">
        <v>746</v>
      </c>
      <c r="B16" s="31" t="s">
        <v>742</v>
      </c>
      <c r="C16" s="33" t="s">
        <v>743</v>
      </c>
      <c r="D16" s="33" t="s">
        <v>8</v>
      </c>
      <c r="E16" s="33" t="s">
        <v>744</v>
      </c>
    </row>
    <row r="17" spans="1:5" x14ac:dyDescent="0.3">
      <c r="A17" s="24" t="s">
        <v>706</v>
      </c>
      <c r="B17" s="29">
        <f>COUNTIF(AarohanMemberList2026[Status],A17)</f>
        <v>0</v>
      </c>
      <c r="C17" s="32">
        <f>SUMIFS(AarohanMemberList2026[Amount (INR)],AarohanMemberList2026[Status],A17)</f>
        <v>0</v>
      </c>
      <c r="D17" s="32">
        <f>SUMIFS(AarohanMemberList2026[Donation Amount],AarohanMemberList2026[Status],A17)</f>
        <v>0</v>
      </c>
      <c r="E17" s="32">
        <f t="shared" ref="E17:E24" si="0">C17+D17</f>
        <v>0</v>
      </c>
    </row>
    <row r="18" spans="1:5" x14ac:dyDescent="0.3">
      <c r="A18" s="24" t="s">
        <v>708</v>
      </c>
      <c r="B18" s="29">
        <f>COUNTIF(AarohanMemberList2026[Status],A18)</f>
        <v>1</v>
      </c>
      <c r="C18" s="32">
        <f>SUMIFS(AarohanMemberList2026[Amount (INR)],AarohanMemberList2026[Status],A18)</f>
        <v>5500</v>
      </c>
      <c r="D18" s="32">
        <f>SUMIFS(AarohanMemberList2026[Donation Amount],AarohanMemberList2026[Status],A18)</f>
        <v>0</v>
      </c>
      <c r="E18" s="32">
        <f t="shared" si="0"/>
        <v>5500</v>
      </c>
    </row>
    <row r="19" spans="1:5" x14ac:dyDescent="0.3">
      <c r="A19" s="24" t="s">
        <v>709</v>
      </c>
      <c r="B19" s="29">
        <f>COUNTIF(AarohanMemberList2026[Status],A19)</f>
        <v>0</v>
      </c>
      <c r="C19" s="32">
        <f>SUMIFS(AarohanMemberList2026[Amount (INR)],AarohanMemberList2026[Status],A19)</f>
        <v>0</v>
      </c>
      <c r="D19" s="32">
        <f>SUMIFS(AarohanMemberList2026[Donation Amount],AarohanMemberList2026[Status],A19)</f>
        <v>0</v>
      </c>
      <c r="E19" s="32">
        <f t="shared" si="0"/>
        <v>0</v>
      </c>
    </row>
    <row r="20" spans="1:5" x14ac:dyDescent="0.3">
      <c r="A20" s="24" t="s">
        <v>710</v>
      </c>
      <c r="B20" s="29">
        <f>COUNTIF(AarohanMemberList2026[Status],A20)</f>
        <v>0</v>
      </c>
      <c r="C20" s="32">
        <f>SUMIFS(AarohanMemberList2026[Amount (INR)],AarohanMemberList2026[Status],A20)</f>
        <v>0</v>
      </c>
      <c r="D20" s="32">
        <f>SUMIFS(AarohanMemberList2026[Donation Amount],AarohanMemberList2026[Status],A20)</f>
        <v>0</v>
      </c>
      <c r="E20" s="32">
        <f t="shared" si="0"/>
        <v>0</v>
      </c>
    </row>
    <row r="21" spans="1:5" x14ac:dyDescent="0.3">
      <c r="A21" s="24" t="s">
        <v>711</v>
      </c>
      <c r="B21" s="29">
        <f>COUNTIF(AarohanMemberList2026[Status],A21)</f>
        <v>0</v>
      </c>
      <c r="C21" s="32">
        <f>SUMIFS(AarohanMemberList2026[Amount (INR)],AarohanMemberList2026[Status],A21)</f>
        <v>0</v>
      </c>
      <c r="D21" s="32">
        <f>SUMIFS(AarohanMemberList2026[Donation Amount],AarohanMemberList2026[Status],A21)</f>
        <v>0</v>
      </c>
      <c r="E21" s="32">
        <f t="shared" si="0"/>
        <v>0</v>
      </c>
    </row>
    <row r="22" spans="1:5" x14ac:dyDescent="0.3">
      <c r="A22" s="24" t="s">
        <v>712</v>
      </c>
      <c r="B22" s="29">
        <f>COUNTIF(AarohanMemberList2026[Status],A22)</f>
        <v>0</v>
      </c>
      <c r="C22" s="32">
        <f>SUMIFS(AarohanMemberList2026[Amount (INR)],AarohanMemberList2026[Status],A22)</f>
        <v>0</v>
      </c>
      <c r="D22" s="32">
        <f>SUMIFS(AarohanMemberList2026[Donation Amount],AarohanMemberList2026[Status],A22)</f>
        <v>0</v>
      </c>
      <c r="E22" s="32">
        <f t="shared" si="0"/>
        <v>0</v>
      </c>
    </row>
    <row r="23" spans="1:5" x14ac:dyDescent="0.3">
      <c r="A23" s="24" t="s">
        <v>730</v>
      </c>
      <c r="B23" s="29">
        <f>COUNTIF(AarohanMemberList2026[Status],A23)</f>
        <v>0</v>
      </c>
      <c r="C23" s="32">
        <f>SUMIFS(AarohanMemberList2026[Amount (INR)],AarohanMemberList2026[Status],A23)</f>
        <v>0</v>
      </c>
      <c r="D23" s="32">
        <f>SUMIFS(AarohanMemberList2026[Donation Amount],AarohanMemberList2026[Status],A23)</f>
        <v>0</v>
      </c>
      <c r="E23" s="32">
        <f t="shared" si="0"/>
        <v>0</v>
      </c>
    </row>
    <row r="24" spans="1:5" x14ac:dyDescent="0.3">
      <c r="A24" s="24" t="s">
        <v>745</v>
      </c>
      <c r="B24" s="29">
        <f>COUNTBLANK(AarohanMemberList2026[Status])</f>
        <v>171</v>
      </c>
      <c r="C24" s="32">
        <f>SUMIFS(AarohanMemberList2026[Amount (INR)],AarohanMemberList2026[Status],"")</f>
        <v>30700</v>
      </c>
      <c r="D24" s="32">
        <f>SUMIFS(AarohanMemberList2026[Donation Amount],AarohanMemberList2026[Status],"")</f>
        <v>10000</v>
      </c>
      <c r="E24" s="32">
        <f t="shared" si="0"/>
        <v>40700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2"/>
  <sheetViews>
    <sheetView tabSelected="1" zoomScale="85" zoomScaleNormal="85" workbookViewId="0">
      <pane ySplit="3" topLeftCell="A64" activePane="bottomLeft" state="frozen"/>
      <selection pane="bottomLeft" activeCell="D74" sqref="D74"/>
    </sheetView>
  </sheetViews>
  <sheetFormatPr defaultRowHeight="14.4" x14ac:dyDescent="0.3"/>
  <cols>
    <col min="1" max="1" width="11.44140625" customWidth="1"/>
    <col min="2" max="2" width="22.88671875" customWidth="1"/>
    <col min="3" max="3" width="28.5546875" customWidth="1"/>
    <col min="4" max="4" width="14.88671875" customWidth="1"/>
    <col min="5" max="5" width="38.109375" customWidth="1"/>
    <col min="6" max="6" width="11" customWidth="1"/>
    <col min="7" max="7" width="10.109375" customWidth="1"/>
    <col min="8" max="8" width="10.33203125" customWidth="1"/>
    <col min="9" max="9" width="17.5546875" customWidth="1"/>
    <col min="10" max="10" width="15.5546875" customWidth="1"/>
    <col min="11" max="11" width="17.109375" customWidth="1"/>
    <col min="12" max="12" width="42.109375" customWidth="1"/>
    <col min="13" max="13" width="18.109375" customWidth="1"/>
    <col min="14" max="14" width="33.44140625" customWidth="1"/>
    <col min="15" max="15" width="20" customWidth="1"/>
    <col min="16" max="16" width="16.6640625" customWidth="1"/>
    <col min="17" max="17" width="40.5546875" customWidth="1"/>
  </cols>
  <sheetData>
    <row r="1" spans="1:17" ht="33.9" customHeight="1" x14ac:dyDescent="0.45">
      <c r="A1" s="37" t="s">
        <v>727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s="34" customFormat="1" ht="24" customHeight="1" x14ac:dyDescent="0.35">
      <c r="A2" s="39" t="s">
        <v>728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33.75" customHeight="1" x14ac:dyDescent="0.3">
      <c r="A3" s="13" t="s">
        <v>732</v>
      </c>
      <c r="B3" s="12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35" t="s">
        <v>7</v>
      </c>
      <c r="J3" s="35" t="s">
        <v>713</v>
      </c>
      <c r="K3" s="35" t="s">
        <v>9</v>
      </c>
      <c r="L3" s="13" t="s">
        <v>733</v>
      </c>
      <c r="M3" s="13" t="s">
        <v>8</v>
      </c>
      <c r="N3" s="13" t="s">
        <v>10</v>
      </c>
      <c r="O3" s="35" t="s">
        <v>11</v>
      </c>
      <c r="P3" s="36" t="s">
        <v>714</v>
      </c>
      <c r="Q3" s="14" t="s">
        <v>731</v>
      </c>
    </row>
    <row r="4" spans="1:17" x14ac:dyDescent="0.3">
      <c r="A4" s="23">
        <v>1</v>
      </c>
      <c r="B4" s="11" t="s">
        <v>12</v>
      </c>
      <c r="C4" s="1" t="s">
        <v>13</v>
      </c>
      <c r="D4" s="1" t="s">
        <v>14</v>
      </c>
      <c r="E4" s="3" t="s">
        <v>15</v>
      </c>
      <c r="F4" s="15">
        <v>0</v>
      </c>
      <c r="G4" s="15">
        <v>0</v>
      </c>
      <c r="H4" s="15">
        <v>1</v>
      </c>
      <c r="I4" s="2" t="s">
        <v>721</v>
      </c>
      <c r="J4" s="17" cm="1">
        <f t="array" ref="J4">_xlfn.SWITCH(TRIM(I4),"New Member",6000,"Existing Member",5500,"Solo (New Member)",2500,"Solo (Existing Member)",2200,"")</f>
        <v>2500</v>
      </c>
      <c r="K4" s="5" t="s">
        <v>16</v>
      </c>
      <c r="L4" s="19"/>
      <c r="M4" s="17"/>
      <c r="N4" s="2" t="s">
        <v>17</v>
      </c>
      <c r="O4" s="2" t="s">
        <v>715</v>
      </c>
      <c r="P4" s="18"/>
    </row>
    <row r="5" spans="1:17" ht="52.8" x14ac:dyDescent="0.3">
      <c r="A5" s="23">
        <v>2</v>
      </c>
      <c r="B5" s="11" t="s">
        <v>18</v>
      </c>
      <c r="C5" s="1" t="s">
        <v>19</v>
      </c>
      <c r="D5" s="1" t="s">
        <v>20</v>
      </c>
      <c r="E5" s="3" t="s">
        <v>21</v>
      </c>
      <c r="F5" s="15">
        <v>0</v>
      </c>
      <c r="G5" s="15">
        <v>0</v>
      </c>
      <c r="H5" s="15">
        <v>3</v>
      </c>
      <c r="I5" s="2" t="s">
        <v>719</v>
      </c>
      <c r="J5" s="17" cm="1">
        <f t="array" ref="J5">_xlfn.SWITCH(TRIM(I5),"New Member",6000,"Existing Member",5500,"Solo (New Member)",2500,"Solo (Existing Member)",2200,"")</f>
        <v>6000</v>
      </c>
      <c r="K5" s="5" t="s">
        <v>22</v>
      </c>
      <c r="L5" s="19"/>
      <c r="M5" s="17">
        <v>10000</v>
      </c>
      <c r="N5" s="2" t="s">
        <v>23</v>
      </c>
      <c r="O5" s="2" t="s">
        <v>715</v>
      </c>
      <c r="P5" s="18"/>
    </row>
    <row r="6" spans="1:17" ht="26.4" x14ac:dyDescent="0.3">
      <c r="A6" s="23">
        <v>3</v>
      </c>
      <c r="B6" s="11" t="s">
        <v>24</v>
      </c>
      <c r="C6" s="1" t="s">
        <v>25</v>
      </c>
      <c r="D6" s="1" t="s">
        <v>26</v>
      </c>
      <c r="E6" s="3" t="s">
        <v>27</v>
      </c>
      <c r="F6" s="15">
        <v>0</v>
      </c>
      <c r="G6" s="15">
        <v>0</v>
      </c>
      <c r="H6" s="15">
        <v>3</v>
      </c>
      <c r="I6" s="2" t="s">
        <v>719</v>
      </c>
      <c r="J6" s="17" cm="1">
        <f t="array" ref="J6">_xlfn.SWITCH(TRIM(I6),"New Member",6000,"Existing Member",5500,"Solo (New Member)",2500,"Solo (Existing Member)",2200,"")</f>
        <v>6000</v>
      </c>
      <c r="K6" s="5" t="s">
        <v>28</v>
      </c>
      <c r="L6" s="19" t="s">
        <v>747</v>
      </c>
      <c r="M6" s="17"/>
      <c r="N6" s="2" t="s">
        <v>29</v>
      </c>
      <c r="O6" s="2" t="s">
        <v>715</v>
      </c>
      <c r="P6" s="18"/>
    </row>
    <row r="7" spans="1:17" ht="26.4" x14ac:dyDescent="0.3">
      <c r="A7" s="23">
        <v>4</v>
      </c>
      <c r="B7" s="11" t="s">
        <v>30</v>
      </c>
      <c r="C7" s="1" t="s">
        <v>31</v>
      </c>
      <c r="D7" s="1" t="s">
        <v>32</v>
      </c>
      <c r="E7" s="3" t="s">
        <v>33</v>
      </c>
      <c r="F7" s="15">
        <v>0</v>
      </c>
      <c r="G7" s="15">
        <v>1</v>
      </c>
      <c r="H7" s="15">
        <v>3</v>
      </c>
      <c r="I7" s="2" t="s">
        <v>718</v>
      </c>
      <c r="J7" s="17" cm="1">
        <f t="array" ref="J7">_xlfn.SWITCH(TRIM(I7),"New Member",6000,"Existing Member",5500,"Solo (New Member)",2500,"Solo (Existing Member)",2200,"")</f>
        <v>5500</v>
      </c>
      <c r="K7" s="5" t="s">
        <v>34</v>
      </c>
      <c r="L7" s="19"/>
      <c r="M7" s="17"/>
      <c r="N7" s="2"/>
      <c r="O7" s="2" t="s">
        <v>715</v>
      </c>
      <c r="P7" s="18" t="s">
        <v>708</v>
      </c>
    </row>
    <row r="8" spans="1:17" ht="26.4" x14ac:dyDescent="0.3">
      <c r="A8" s="23">
        <v>5</v>
      </c>
      <c r="B8" s="11" t="s">
        <v>35</v>
      </c>
      <c r="C8" s="1" t="s">
        <v>36</v>
      </c>
      <c r="D8" s="1" t="s">
        <v>37</v>
      </c>
      <c r="E8" s="3" t="s">
        <v>38</v>
      </c>
      <c r="F8" s="15">
        <v>0</v>
      </c>
      <c r="G8" s="15">
        <v>0</v>
      </c>
      <c r="H8" s="15">
        <v>3</v>
      </c>
      <c r="I8" s="2" t="s">
        <v>718</v>
      </c>
      <c r="J8" s="17" cm="1">
        <f t="array" ref="J8">_xlfn.SWITCH(TRIM(I8),"New Member",6000,"Existing Member",5500,"Solo (New Member)",2500,"Solo (Existing Member)",2200,"")</f>
        <v>5500</v>
      </c>
      <c r="K8" s="5" t="s">
        <v>39</v>
      </c>
      <c r="L8" s="19"/>
      <c r="M8" s="17"/>
      <c r="N8" s="2" t="s">
        <v>40</v>
      </c>
      <c r="O8" s="2" t="s">
        <v>715</v>
      </c>
      <c r="P8" s="18"/>
    </row>
    <row r="9" spans="1:17" ht="26.4" x14ac:dyDescent="0.3">
      <c r="A9" s="23">
        <v>6</v>
      </c>
      <c r="B9" s="11" t="s">
        <v>41</v>
      </c>
      <c r="C9" s="1" t="s">
        <v>42</v>
      </c>
      <c r="D9" s="1" t="s">
        <v>43</v>
      </c>
      <c r="E9" s="3" t="s">
        <v>44</v>
      </c>
      <c r="F9" s="15">
        <v>0</v>
      </c>
      <c r="G9" s="15">
        <v>1</v>
      </c>
      <c r="H9" s="15">
        <v>3</v>
      </c>
      <c r="I9" s="2" t="s">
        <v>719</v>
      </c>
      <c r="J9" s="17" cm="1">
        <f t="array" ref="J9">_xlfn.SWITCH(TRIM(I9),"New Member",6000,"Existing Member",5500,"Solo (New Member)",2500,"Solo (Existing Member)",2200,"")</f>
        <v>6000</v>
      </c>
      <c r="K9" s="5" t="s">
        <v>45</v>
      </c>
      <c r="L9" s="19"/>
      <c r="M9" s="17"/>
      <c r="N9" s="2"/>
      <c r="O9" s="2" t="s">
        <v>715</v>
      </c>
      <c r="P9" s="18"/>
    </row>
    <row r="10" spans="1:17" ht="26.4" x14ac:dyDescent="0.3">
      <c r="A10" s="23">
        <v>7</v>
      </c>
      <c r="B10" s="11" t="s">
        <v>46</v>
      </c>
      <c r="C10" s="1" t="s">
        <v>47</v>
      </c>
      <c r="D10" s="1" t="s">
        <v>48</v>
      </c>
      <c r="E10" s="3" t="s">
        <v>49</v>
      </c>
      <c r="F10" s="15">
        <v>1</v>
      </c>
      <c r="G10" s="15">
        <v>0</v>
      </c>
      <c r="H10" s="15">
        <v>2</v>
      </c>
      <c r="I10" s="2"/>
      <c r="J10" s="17" t="str" cm="1">
        <f t="array" ref="J10">_xlfn.SWITCH(TRIM(I10),"New Member",6000,"Existing Member",5500,"Solo (New Member)",2500,"Solo (Existing Member)",2200,"")</f>
        <v/>
      </c>
      <c r="K10" s="5"/>
      <c r="L10" s="19"/>
      <c r="M10" s="17"/>
      <c r="N10" s="2"/>
      <c r="O10" s="2"/>
      <c r="P10" s="18"/>
    </row>
    <row r="11" spans="1:17" x14ac:dyDescent="0.3">
      <c r="A11" s="23">
        <v>8</v>
      </c>
      <c r="B11" s="11" t="s">
        <v>50</v>
      </c>
      <c r="C11" s="1" t="s">
        <v>51</v>
      </c>
      <c r="D11" s="1" t="s">
        <v>52</v>
      </c>
      <c r="E11" s="3" t="s">
        <v>53</v>
      </c>
      <c r="F11" s="15">
        <v>0</v>
      </c>
      <c r="G11" s="15">
        <v>0</v>
      </c>
      <c r="H11" s="15">
        <v>3</v>
      </c>
      <c r="I11" s="2"/>
      <c r="J11" s="17" t="str" cm="1">
        <f t="array" ref="J11">_xlfn.SWITCH(TRIM(I11),"New Member",6000,"Existing Member",5500,"Solo (New Member)",2500,"Solo (Existing Member)",2200,"")</f>
        <v/>
      </c>
      <c r="K11" s="5"/>
      <c r="L11" s="19"/>
      <c r="M11" s="17"/>
      <c r="N11" s="2"/>
      <c r="O11" s="2"/>
      <c r="P11" s="18"/>
    </row>
    <row r="12" spans="1:17" ht="39.6" x14ac:dyDescent="0.3">
      <c r="A12" s="23">
        <v>9</v>
      </c>
      <c r="B12" s="11" t="s">
        <v>54</v>
      </c>
      <c r="C12" s="1" t="s">
        <v>55</v>
      </c>
      <c r="D12" s="1" t="s">
        <v>56</v>
      </c>
      <c r="E12" s="3" t="s">
        <v>57</v>
      </c>
      <c r="F12" s="15">
        <v>0</v>
      </c>
      <c r="G12" s="15">
        <v>2</v>
      </c>
      <c r="H12" s="15">
        <v>4</v>
      </c>
      <c r="I12" s="2" t="s">
        <v>720</v>
      </c>
      <c r="J12" s="17" cm="1">
        <f t="array" ref="J12">_xlfn.SWITCH(TRIM(I12),"New Member",6000,"Existing Member",5500,"Solo (New Member)",2500,"Solo (Existing Member)",2200,"")</f>
        <v>2200</v>
      </c>
      <c r="K12" s="5"/>
      <c r="L12" s="19"/>
      <c r="M12" s="17"/>
      <c r="N12" s="2"/>
      <c r="O12" s="2"/>
      <c r="P12" s="18"/>
    </row>
    <row r="13" spans="1:17" ht="39.6" x14ac:dyDescent="0.3">
      <c r="A13" s="23">
        <v>10</v>
      </c>
      <c r="B13" s="11" t="s">
        <v>58</v>
      </c>
      <c r="C13" s="1" t="s">
        <v>59</v>
      </c>
      <c r="D13" s="1" t="s">
        <v>60</v>
      </c>
      <c r="E13" s="3" t="s">
        <v>61</v>
      </c>
      <c r="F13" s="15">
        <v>2</v>
      </c>
      <c r="G13" s="15">
        <v>0</v>
      </c>
      <c r="H13" s="15">
        <v>3</v>
      </c>
      <c r="I13" s="2" t="s">
        <v>721</v>
      </c>
      <c r="J13" s="17" cm="1">
        <f t="array" ref="J13">_xlfn.SWITCH(TRIM(I13),"New Member",6000,"Existing Member",5500,"Solo (New Member)",2500,"Solo (Existing Member)",2200,"")</f>
        <v>2500</v>
      </c>
      <c r="K13" s="5"/>
      <c r="L13" s="19"/>
      <c r="M13" s="17"/>
      <c r="N13" s="2"/>
      <c r="O13" s="2"/>
      <c r="P13" s="18"/>
    </row>
    <row r="14" spans="1:17" ht="26.4" x14ac:dyDescent="0.3">
      <c r="A14" s="23">
        <v>11</v>
      </c>
      <c r="B14" s="11" t="s">
        <v>62</v>
      </c>
      <c r="C14" s="1" t="s">
        <v>63</v>
      </c>
      <c r="D14" s="1" t="s">
        <v>64</v>
      </c>
      <c r="E14" s="3" t="s">
        <v>65</v>
      </c>
      <c r="F14" s="15">
        <v>0</v>
      </c>
      <c r="G14" s="15">
        <v>2</v>
      </c>
      <c r="H14" s="15">
        <v>4</v>
      </c>
      <c r="I14" s="2"/>
      <c r="J14" s="17" t="str" cm="1">
        <f t="array" ref="J14">_xlfn.SWITCH(TRIM(I14),"New Member",6000,"Existing Member",5500,"Solo (New Member)",2500,"Solo (Existing Member)",2200,"")</f>
        <v/>
      </c>
      <c r="K14" s="5"/>
      <c r="L14" s="19"/>
      <c r="M14" s="17"/>
      <c r="N14" s="2"/>
      <c r="O14" s="2"/>
      <c r="P14" s="18"/>
    </row>
    <row r="15" spans="1:17" x14ac:dyDescent="0.3">
      <c r="A15" s="23">
        <v>12</v>
      </c>
      <c r="B15" s="11" t="s">
        <v>66</v>
      </c>
      <c r="C15" s="1" t="s">
        <v>67</v>
      </c>
      <c r="D15" s="1" t="s">
        <v>68</v>
      </c>
      <c r="E15" s="3" t="s">
        <v>69</v>
      </c>
      <c r="F15" s="15">
        <v>0</v>
      </c>
      <c r="G15" s="15">
        <v>0</v>
      </c>
      <c r="H15" s="15">
        <v>2</v>
      </c>
      <c r="I15" s="2"/>
      <c r="J15" s="17" t="str" cm="1">
        <f t="array" ref="J15">_xlfn.SWITCH(TRIM(I15),"New Member",6000,"Existing Member",5500,"Solo (New Member)",2500,"Solo (Existing Member)",2200,"")</f>
        <v/>
      </c>
      <c r="K15" s="5"/>
      <c r="L15" s="19"/>
      <c r="M15" s="17"/>
      <c r="N15" s="2"/>
      <c r="O15" s="2"/>
      <c r="P15" s="18"/>
    </row>
    <row r="16" spans="1:17" ht="39.6" x14ac:dyDescent="0.3">
      <c r="A16" s="23">
        <v>13</v>
      </c>
      <c r="B16" s="11" t="s">
        <v>70</v>
      </c>
      <c r="C16" s="1" t="s">
        <v>71</v>
      </c>
      <c r="D16" s="1" t="s">
        <v>72</v>
      </c>
      <c r="E16" s="3" t="s">
        <v>73</v>
      </c>
      <c r="F16" s="15">
        <v>0</v>
      </c>
      <c r="G16" s="15">
        <v>1</v>
      </c>
      <c r="H16" s="15">
        <v>4</v>
      </c>
      <c r="I16" s="2"/>
      <c r="J16" s="17" t="str" cm="1">
        <f t="array" ref="J16">_xlfn.SWITCH(TRIM(I16),"New Member",6000,"Existing Member",5500,"Solo (New Member)",2500,"Solo (Existing Member)",2200,"")</f>
        <v/>
      </c>
      <c r="K16" s="5"/>
      <c r="L16" s="19"/>
      <c r="M16" s="17"/>
      <c r="N16" s="2"/>
      <c r="O16" s="2"/>
      <c r="P16" s="18"/>
    </row>
    <row r="17" spans="1:16" ht="26.4" x14ac:dyDescent="0.3">
      <c r="A17" s="23">
        <v>14</v>
      </c>
      <c r="B17" s="11" t="s">
        <v>74</v>
      </c>
      <c r="C17" s="1" t="s">
        <v>75</v>
      </c>
      <c r="D17" s="1" t="s">
        <v>76</v>
      </c>
      <c r="E17" s="3" t="s">
        <v>77</v>
      </c>
      <c r="F17" s="15">
        <v>0</v>
      </c>
      <c r="G17" s="15">
        <v>2</v>
      </c>
      <c r="H17" s="15">
        <v>4</v>
      </c>
      <c r="I17" s="2"/>
      <c r="J17" s="17" t="str" cm="1">
        <f t="array" ref="J17">_xlfn.SWITCH(TRIM(I17),"New Member",6000,"Existing Member",5500,"Solo (New Member)",2500,"Solo (Existing Member)",2200,"")</f>
        <v/>
      </c>
      <c r="K17" s="5"/>
      <c r="L17" s="19"/>
      <c r="M17" s="17"/>
      <c r="N17" s="2"/>
      <c r="O17" s="2"/>
      <c r="P17" s="18"/>
    </row>
    <row r="18" spans="1:16" ht="39.6" x14ac:dyDescent="0.3">
      <c r="A18" s="23">
        <v>15</v>
      </c>
      <c r="B18" s="11" t="s">
        <v>78</v>
      </c>
      <c r="C18" s="1" t="s">
        <v>79</v>
      </c>
      <c r="D18" s="1" t="s">
        <v>80</v>
      </c>
      <c r="E18" s="3" t="s">
        <v>81</v>
      </c>
      <c r="F18" s="15">
        <v>0</v>
      </c>
      <c r="G18" s="15">
        <v>0</v>
      </c>
      <c r="H18" s="15">
        <v>4</v>
      </c>
      <c r="I18" s="2"/>
      <c r="J18" s="17" t="str" cm="1">
        <f t="array" ref="J18">_xlfn.SWITCH(TRIM(I18),"New Member",6000,"Existing Member",5500,"Solo (New Member)",2500,"Solo (Existing Member)",2200,"")</f>
        <v/>
      </c>
      <c r="K18" s="5"/>
      <c r="L18" s="19"/>
      <c r="M18" s="17"/>
      <c r="N18" s="2"/>
      <c r="O18" s="2"/>
      <c r="P18" s="18"/>
    </row>
    <row r="19" spans="1:16" x14ac:dyDescent="0.3">
      <c r="A19" s="23">
        <v>16</v>
      </c>
      <c r="B19" s="11" t="s">
        <v>82</v>
      </c>
      <c r="C19" s="1" t="s">
        <v>83</v>
      </c>
      <c r="D19" s="1" t="s">
        <v>84</v>
      </c>
      <c r="E19" s="3" t="s">
        <v>85</v>
      </c>
      <c r="F19" s="15">
        <v>0</v>
      </c>
      <c r="G19" s="15">
        <v>1</v>
      </c>
      <c r="H19" s="15">
        <v>4</v>
      </c>
      <c r="I19" s="2"/>
      <c r="J19" s="17" t="str" cm="1">
        <f t="array" ref="J19">_xlfn.SWITCH(TRIM(I19),"New Member",6000,"Existing Member",5500,"Solo (New Member)",2500,"Solo (Existing Member)",2200,"")</f>
        <v/>
      </c>
      <c r="K19" s="5"/>
      <c r="L19" s="19"/>
      <c r="M19" s="17"/>
      <c r="N19" s="2"/>
      <c r="O19" s="2"/>
      <c r="P19" s="18"/>
    </row>
    <row r="20" spans="1:16" x14ac:dyDescent="0.3">
      <c r="A20" s="23">
        <v>17</v>
      </c>
      <c r="B20" s="11" t="s">
        <v>86</v>
      </c>
      <c r="C20" s="1" t="s">
        <v>87</v>
      </c>
      <c r="D20" s="1" t="s">
        <v>88</v>
      </c>
      <c r="E20" s="3" t="s">
        <v>89</v>
      </c>
      <c r="F20" s="15">
        <v>0</v>
      </c>
      <c r="G20" s="15">
        <v>1</v>
      </c>
      <c r="H20" s="15">
        <v>4</v>
      </c>
      <c r="I20" s="2"/>
      <c r="J20" s="17" t="str" cm="1">
        <f t="array" ref="J20">_xlfn.SWITCH(TRIM(I20),"New Member",6000,"Existing Member",5500,"Solo (New Member)",2500,"Solo (Existing Member)",2200,"")</f>
        <v/>
      </c>
      <c r="K20" s="5"/>
      <c r="L20" s="19"/>
      <c r="M20" s="17"/>
      <c r="N20" s="2"/>
      <c r="O20" s="2"/>
      <c r="P20" s="18"/>
    </row>
    <row r="21" spans="1:16" x14ac:dyDescent="0.3">
      <c r="A21" s="23">
        <v>18</v>
      </c>
      <c r="B21" s="11" t="s">
        <v>90</v>
      </c>
      <c r="C21" s="1" t="s">
        <v>91</v>
      </c>
      <c r="D21" s="1" t="s">
        <v>92</v>
      </c>
      <c r="E21" s="3" t="s">
        <v>93</v>
      </c>
      <c r="F21" s="15">
        <v>0</v>
      </c>
      <c r="G21" s="15">
        <v>1</v>
      </c>
      <c r="H21" s="15">
        <v>3</v>
      </c>
      <c r="I21" s="2"/>
      <c r="J21" s="17" t="str" cm="1">
        <f t="array" ref="J21">_xlfn.SWITCH(TRIM(I21),"New Member",6000,"Existing Member",5500,"Solo (New Member)",2500,"Solo (Existing Member)",2200,"")</f>
        <v/>
      </c>
      <c r="K21" s="5"/>
      <c r="L21" s="19"/>
      <c r="M21" s="17"/>
      <c r="N21" s="2"/>
      <c r="O21" s="2"/>
      <c r="P21" s="18"/>
    </row>
    <row r="22" spans="1:16" ht="26.4" x14ac:dyDescent="0.3">
      <c r="A22" s="23">
        <v>19</v>
      </c>
      <c r="B22" s="11" t="s">
        <v>94</v>
      </c>
      <c r="C22" s="1" t="s">
        <v>95</v>
      </c>
      <c r="D22" s="1" t="s">
        <v>96</v>
      </c>
      <c r="E22" s="3" t="s">
        <v>97</v>
      </c>
      <c r="F22" s="15">
        <v>1</v>
      </c>
      <c r="G22" s="15">
        <v>0</v>
      </c>
      <c r="H22" s="15">
        <v>2</v>
      </c>
      <c r="I22" s="2"/>
      <c r="J22" s="17" t="str" cm="1">
        <f t="array" ref="J22">_xlfn.SWITCH(TRIM(I22),"New Member",6000,"Existing Member",5500,"Solo (New Member)",2500,"Solo (Existing Member)",2200,"")</f>
        <v/>
      </c>
      <c r="K22" s="5"/>
      <c r="L22" s="19"/>
      <c r="M22" s="17"/>
      <c r="N22" s="2"/>
      <c r="O22" s="2"/>
      <c r="P22" s="18"/>
    </row>
    <row r="23" spans="1:16" x14ac:dyDescent="0.3">
      <c r="A23" s="23">
        <v>20</v>
      </c>
      <c r="B23" s="11" t="s">
        <v>98</v>
      </c>
      <c r="C23" s="1" t="s">
        <v>99</v>
      </c>
      <c r="D23" s="1" t="s">
        <v>100</v>
      </c>
      <c r="E23" s="3" t="s">
        <v>101</v>
      </c>
      <c r="F23" s="15">
        <v>0</v>
      </c>
      <c r="G23" s="15">
        <v>1</v>
      </c>
      <c r="H23" s="15">
        <v>4</v>
      </c>
      <c r="I23" s="2"/>
      <c r="J23" s="17" t="str" cm="1">
        <f t="array" ref="J23">_xlfn.SWITCH(TRIM(I23),"New Member",6000,"Existing Member",5500,"Solo (New Member)",2500,"Solo (Existing Member)",2200,"")</f>
        <v/>
      </c>
      <c r="K23" s="5"/>
      <c r="L23" s="19"/>
      <c r="M23" s="17"/>
      <c r="N23" s="2"/>
      <c r="O23" s="2"/>
      <c r="P23" s="18"/>
    </row>
    <row r="24" spans="1:16" x14ac:dyDescent="0.3">
      <c r="A24" s="23">
        <v>21</v>
      </c>
      <c r="B24" s="11" t="s">
        <v>102</v>
      </c>
      <c r="C24" s="1" t="s">
        <v>103</v>
      </c>
      <c r="D24" s="1" t="s">
        <v>105</v>
      </c>
      <c r="E24" s="3" t="s">
        <v>104</v>
      </c>
      <c r="F24" s="15">
        <v>0</v>
      </c>
      <c r="G24" s="15">
        <v>2</v>
      </c>
      <c r="H24" s="15">
        <v>4</v>
      </c>
      <c r="I24" s="2"/>
      <c r="J24" s="17" t="str" cm="1">
        <f t="array" ref="J24">_xlfn.SWITCH(TRIM(I24),"New Member",6000,"Existing Member",5500,"Solo (New Member)",2500,"Solo (Existing Member)",2200,"")</f>
        <v/>
      </c>
      <c r="K24" s="5"/>
      <c r="L24" s="19"/>
      <c r="M24" s="17"/>
      <c r="N24" s="2"/>
      <c r="O24" s="2"/>
      <c r="P24" s="18"/>
    </row>
    <row r="25" spans="1:16" x14ac:dyDescent="0.3">
      <c r="A25" s="23">
        <v>22</v>
      </c>
      <c r="B25" s="11" t="s">
        <v>106</v>
      </c>
      <c r="C25" s="1" t="s">
        <v>107</v>
      </c>
      <c r="D25" s="1" t="s">
        <v>108</v>
      </c>
      <c r="E25" s="3" t="s">
        <v>109</v>
      </c>
      <c r="F25" s="15">
        <v>0</v>
      </c>
      <c r="G25" s="15">
        <v>0</v>
      </c>
      <c r="H25" s="15">
        <v>3</v>
      </c>
      <c r="I25" s="2"/>
      <c r="J25" s="17" t="str" cm="1">
        <f t="array" ref="J25">_xlfn.SWITCH(TRIM(I25),"New Member",6000,"Existing Member",5500,"Solo (New Member)",2500,"Solo (Existing Member)",2200,"")</f>
        <v/>
      </c>
      <c r="K25" s="5"/>
      <c r="L25" s="19"/>
      <c r="M25" s="17"/>
      <c r="N25" s="2"/>
      <c r="O25" s="2"/>
      <c r="P25" s="18"/>
    </row>
    <row r="26" spans="1:16" x14ac:dyDescent="0.3">
      <c r="A26" s="23">
        <v>23</v>
      </c>
      <c r="B26" s="11" t="s">
        <v>110</v>
      </c>
      <c r="C26" s="1" t="s">
        <v>111</v>
      </c>
      <c r="D26" s="1" t="s">
        <v>112</v>
      </c>
      <c r="E26" s="3" t="s">
        <v>113</v>
      </c>
      <c r="F26" s="15">
        <v>0</v>
      </c>
      <c r="G26" s="15">
        <v>0</v>
      </c>
      <c r="H26" s="15">
        <v>3</v>
      </c>
      <c r="I26" s="2"/>
      <c r="J26" s="17" t="str" cm="1">
        <f t="array" ref="J26">_xlfn.SWITCH(TRIM(I26),"New Member",6000,"Existing Member",5500,"Solo (New Member)",2500,"Solo (Existing Member)",2200,"")</f>
        <v/>
      </c>
      <c r="K26" s="5"/>
      <c r="L26" s="19"/>
      <c r="M26" s="17"/>
      <c r="N26" s="2"/>
      <c r="O26" s="2"/>
      <c r="P26" s="18"/>
    </row>
    <row r="27" spans="1:16" x14ac:dyDescent="0.3">
      <c r="A27" s="23">
        <v>24</v>
      </c>
      <c r="B27" s="11" t="s">
        <v>114</v>
      </c>
      <c r="C27" s="1" t="s">
        <v>115</v>
      </c>
      <c r="D27" s="1" t="s">
        <v>116</v>
      </c>
      <c r="E27" s="3" t="s">
        <v>117</v>
      </c>
      <c r="F27" s="15">
        <v>0</v>
      </c>
      <c r="G27" s="15">
        <v>1</v>
      </c>
      <c r="H27" s="15">
        <v>4</v>
      </c>
      <c r="I27" s="2"/>
      <c r="J27" s="17" t="str" cm="1">
        <f t="array" ref="J27">_xlfn.SWITCH(TRIM(I27),"New Member",6000,"Existing Member",5500,"Solo (New Member)",2500,"Solo (Existing Member)",2200,"")</f>
        <v/>
      </c>
      <c r="K27" s="5"/>
      <c r="L27" s="19"/>
      <c r="M27" s="17"/>
      <c r="N27" s="2"/>
      <c r="O27" s="2"/>
      <c r="P27" s="18"/>
    </row>
    <row r="28" spans="1:16" x14ac:dyDescent="0.3">
      <c r="A28" s="23">
        <v>25</v>
      </c>
      <c r="B28" s="11" t="s">
        <v>118</v>
      </c>
      <c r="C28" s="1" t="s">
        <v>119</v>
      </c>
      <c r="D28" s="1" t="s">
        <v>120</v>
      </c>
      <c r="E28" s="3" t="s">
        <v>121</v>
      </c>
      <c r="F28" s="15">
        <v>1</v>
      </c>
      <c r="G28" s="15">
        <v>1</v>
      </c>
      <c r="H28" s="15">
        <v>4</v>
      </c>
      <c r="I28" s="2"/>
      <c r="J28" s="17" t="str" cm="1">
        <f t="array" ref="J28">_xlfn.SWITCH(TRIM(I28),"New Member",6000,"Existing Member",5500,"Solo (New Member)",2500,"Solo (Existing Member)",2200,"")</f>
        <v/>
      </c>
      <c r="K28" s="5"/>
      <c r="L28" s="19"/>
      <c r="M28" s="17"/>
      <c r="N28" s="2"/>
      <c r="O28" s="2"/>
      <c r="P28" s="18"/>
    </row>
    <row r="29" spans="1:16" ht="39.6" x14ac:dyDescent="0.3">
      <c r="A29" s="23">
        <v>26</v>
      </c>
      <c r="B29" s="11" t="s">
        <v>122</v>
      </c>
      <c r="C29" s="1" t="s">
        <v>123</v>
      </c>
      <c r="D29" s="1" t="s">
        <v>125</v>
      </c>
      <c r="E29" s="3" t="s">
        <v>124</v>
      </c>
      <c r="F29" s="15">
        <v>0</v>
      </c>
      <c r="G29" s="15">
        <v>1</v>
      </c>
      <c r="H29" s="15">
        <v>3</v>
      </c>
      <c r="I29" s="2"/>
      <c r="J29" s="17" t="str" cm="1">
        <f t="array" ref="J29">_xlfn.SWITCH(TRIM(I29),"New Member",6000,"Existing Member",5500,"Solo (New Member)",2500,"Solo (Existing Member)",2200,"")</f>
        <v/>
      </c>
      <c r="K29" s="5"/>
      <c r="L29" s="19"/>
      <c r="M29" s="17"/>
      <c r="N29" s="2"/>
      <c r="O29" s="2"/>
      <c r="P29" s="18"/>
    </row>
    <row r="30" spans="1:16" x14ac:dyDescent="0.3">
      <c r="A30" s="23">
        <v>27</v>
      </c>
      <c r="B30" s="11" t="s">
        <v>126</v>
      </c>
      <c r="C30" s="1" t="s">
        <v>127</v>
      </c>
      <c r="D30" s="1" t="s">
        <v>128</v>
      </c>
      <c r="E30" s="3" t="s">
        <v>129</v>
      </c>
      <c r="F30" s="15">
        <v>0</v>
      </c>
      <c r="G30" s="15">
        <v>1</v>
      </c>
      <c r="H30" s="15">
        <v>2</v>
      </c>
      <c r="I30" s="2"/>
      <c r="J30" s="17" t="str" cm="1">
        <f t="array" ref="J30">_xlfn.SWITCH(TRIM(I30),"New Member",6000,"Existing Member",5500,"Solo (New Member)",2500,"Solo (Existing Member)",2200,"")</f>
        <v/>
      </c>
      <c r="K30" s="5"/>
      <c r="L30" s="19"/>
      <c r="M30" s="17"/>
      <c r="N30" s="2"/>
      <c r="O30" s="2"/>
      <c r="P30" s="18"/>
    </row>
    <row r="31" spans="1:16" ht="39.6" x14ac:dyDescent="0.3">
      <c r="A31" s="23">
        <v>28</v>
      </c>
      <c r="B31" s="11" t="s">
        <v>130</v>
      </c>
      <c r="C31" s="1" t="s">
        <v>131</v>
      </c>
      <c r="D31" s="1" t="s">
        <v>132</v>
      </c>
      <c r="E31" s="3" t="s">
        <v>133</v>
      </c>
      <c r="F31" s="15">
        <v>0</v>
      </c>
      <c r="G31" s="15">
        <v>0</v>
      </c>
      <c r="H31" s="15">
        <v>4</v>
      </c>
      <c r="I31" s="2"/>
      <c r="J31" s="17" t="str" cm="1">
        <f t="array" ref="J31">_xlfn.SWITCH(TRIM(I31),"New Member",6000,"Existing Member",5500,"Solo (New Member)",2500,"Solo (Existing Member)",2200,"")</f>
        <v/>
      </c>
      <c r="K31" s="5"/>
      <c r="L31" s="19"/>
      <c r="M31" s="17"/>
      <c r="N31" s="2"/>
      <c r="O31" s="2"/>
      <c r="P31" s="18"/>
    </row>
    <row r="32" spans="1:16" x14ac:dyDescent="0.3">
      <c r="A32" s="23">
        <v>29</v>
      </c>
      <c r="B32" s="11" t="s">
        <v>134</v>
      </c>
      <c r="C32" s="1" t="s">
        <v>135</v>
      </c>
      <c r="D32" s="1" t="s">
        <v>136</v>
      </c>
      <c r="E32" s="3" t="s">
        <v>137</v>
      </c>
      <c r="F32" s="15">
        <v>1</v>
      </c>
      <c r="G32" s="15">
        <v>1</v>
      </c>
      <c r="H32" s="15">
        <v>4</v>
      </c>
      <c r="I32" s="2"/>
      <c r="J32" s="17" t="str" cm="1">
        <f t="array" ref="J32">_xlfn.SWITCH(TRIM(I32),"New Member",6000,"Existing Member",5500,"Solo (New Member)",2500,"Solo (Existing Member)",2200,"")</f>
        <v/>
      </c>
      <c r="K32" s="5"/>
      <c r="L32" s="19"/>
      <c r="M32" s="17"/>
      <c r="N32" s="2"/>
      <c r="O32" s="2"/>
      <c r="P32" s="18"/>
    </row>
    <row r="33" spans="1:16" x14ac:dyDescent="0.3">
      <c r="A33" s="23">
        <v>30</v>
      </c>
      <c r="B33" s="11" t="s">
        <v>138</v>
      </c>
      <c r="C33" s="1" t="s">
        <v>139</v>
      </c>
      <c r="D33" s="1" t="s">
        <v>140</v>
      </c>
      <c r="E33" s="3" t="s">
        <v>141</v>
      </c>
      <c r="F33" s="15">
        <v>1</v>
      </c>
      <c r="G33" s="15">
        <v>0</v>
      </c>
      <c r="H33" s="15">
        <v>4</v>
      </c>
      <c r="I33" s="2"/>
      <c r="J33" s="17" t="str" cm="1">
        <f t="array" ref="J33">_xlfn.SWITCH(TRIM(I33),"New Member",6000,"Existing Member",5500,"Solo (New Member)",2500,"Solo (Existing Member)",2200,"")</f>
        <v/>
      </c>
      <c r="K33" s="5"/>
      <c r="L33" s="19"/>
      <c r="M33" s="17"/>
      <c r="N33" s="2"/>
      <c r="O33" s="2"/>
      <c r="P33" s="18"/>
    </row>
    <row r="34" spans="1:16" ht="39.6" x14ac:dyDescent="0.3">
      <c r="A34" s="23">
        <v>31</v>
      </c>
      <c r="B34" s="11" t="s">
        <v>142</v>
      </c>
      <c r="C34" s="1" t="s">
        <v>143</v>
      </c>
      <c r="D34" s="1"/>
      <c r="E34" s="3" t="s">
        <v>144</v>
      </c>
      <c r="F34" s="15">
        <v>0</v>
      </c>
      <c r="G34" s="15">
        <v>0</v>
      </c>
      <c r="H34" s="15">
        <v>1</v>
      </c>
      <c r="I34" s="2"/>
      <c r="J34" s="17" t="str" cm="1">
        <f t="array" ref="J34">_xlfn.SWITCH(TRIM(I34),"New Member",6000,"Existing Member",5500,"Solo (New Member)",2500,"Solo (Existing Member)",2200,"")</f>
        <v/>
      </c>
      <c r="K34" s="5"/>
      <c r="L34" s="19"/>
      <c r="M34" s="17"/>
      <c r="N34" s="2"/>
      <c r="O34" s="2"/>
      <c r="P34" s="18"/>
    </row>
    <row r="35" spans="1:16" x14ac:dyDescent="0.3">
      <c r="A35" s="23">
        <v>32</v>
      </c>
      <c r="B35" s="11" t="s">
        <v>145</v>
      </c>
      <c r="C35" s="1" t="s">
        <v>146</v>
      </c>
      <c r="D35" s="1" t="s">
        <v>147</v>
      </c>
      <c r="E35" s="3" t="s">
        <v>148</v>
      </c>
      <c r="F35" s="15">
        <v>0</v>
      </c>
      <c r="G35" s="15">
        <v>2</v>
      </c>
      <c r="H35" s="15">
        <v>4</v>
      </c>
      <c r="I35" s="2"/>
      <c r="J35" s="17" t="str" cm="1">
        <f t="array" ref="J35">_xlfn.SWITCH(TRIM(I35),"New Member",6000,"Existing Member",5500,"Solo (New Member)",2500,"Solo (Existing Member)",2200,"")</f>
        <v/>
      </c>
      <c r="K35" s="5"/>
      <c r="L35" s="19"/>
      <c r="M35" s="17"/>
      <c r="N35" s="2"/>
      <c r="O35" s="2"/>
      <c r="P35" s="18"/>
    </row>
    <row r="36" spans="1:16" ht="26.4" x14ac:dyDescent="0.3">
      <c r="A36" s="23">
        <v>33</v>
      </c>
      <c r="B36" s="11" t="s">
        <v>149</v>
      </c>
      <c r="C36" s="1" t="s">
        <v>150</v>
      </c>
      <c r="D36" s="1" t="s">
        <v>151</v>
      </c>
      <c r="E36" s="3" t="s">
        <v>152</v>
      </c>
      <c r="F36" s="15">
        <v>0</v>
      </c>
      <c r="G36" s="15">
        <v>1</v>
      </c>
      <c r="H36" s="15">
        <v>2</v>
      </c>
      <c r="I36" s="2"/>
      <c r="J36" s="17" t="str" cm="1">
        <f t="array" ref="J36">_xlfn.SWITCH(TRIM(I36),"New Member",6000,"Existing Member",5500,"Solo (New Member)",2500,"Solo (Existing Member)",2200,"")</f>
        <v/>
      </c>
      <c r="K36" s="5"/>
      <c r="L36" s="19"/>
      <c r="M36" s="17"/>
      <c r="N36" s="2"/>
      <c r="O36" s="2"/>
      <c r="P36" s="18"/>
    </row>
    <row r="37" spans="1:16" ht="52.8" x14ac:dyDescent="0.3">
      <c r="A37" s="23">
        <v>34</v>
      </c>
      <c r="B37" s="11" t="s">
        <v>153</v>
      </c>
      <c r="C37" s="1" t="s">
        <v>154</v>
      </c>
      <c r="D37" s="1" t="s">
        <v>155</v>
      </c>
      <c r="E37" s="3" t="s">
        <v>156</v>
      </c>
      <c r="F37" s="15">
        <v>0</v>
      </c>
      <c r="G37" s="15">
        <v>0</v>
      </c>
      <c r="H37" s="15">
        <v>1</v>
      </c>
      <c r="I37" s="2"/>
      <c r="J37" s="17" t="str" cm="1">
        <f t="array" ref="J37">_xlfn.SWITCH(TRIM(I37),"New Member",6000,"Existing Member",5500,"Solo (New Member)",2500,"Solo (Existing Member)",2200,"")</f>
        <v/>
      </c>
      <c r="K37" s="5"/>
      <c r="L37" s="19"/>
      <c r="M37" s="17"/>
      <c r="N37" s="2"/>
      <c r="O37" s="2"/>
      <c r="P37" s="18"/>
    </row>
    <row r="38" spans="1:16" x14ac:dyDescent="0.3">
      <c r="A38" s="23">
        <v>35</v>
      </c>
      <c r="B38" s="11" t="s">
        <v>157</v>
      </c>
      <c r="C38" s="1" t="s">
        <v>158</v>
      </c>
      <c r="D38" s="1" t="s">
        <v>159</v>
      </c>
      <c r="E38" s="3" t="s">
        <v>160</v>
      </c>
      <c r="F38" s="15">
        <v>1</v>
      </c>
      <c r="G38" s="15">
        <v>0</v>
      </c>
      <c r="H38" s="15">
        <v>4</v>
      </c>
      <c r="I38" s="2"/>
      <c r="J38" s="17" t="str" cm="1">
        <f t="array" ref="J38">_xlfn.SWITCH(TRIM(I38),"New Member",6000,"Existing Member",5500,"Solo (New Member)",2500,"Solo (Existing Member)",2200,"")</f>
        <v/>
      </c>
      <c r="K38" s="5"/>
      <c r="L38" s="19"/>
      <c r="M38" s="17"/>
      <c r="N38" s="2"/>
      <c r="O38" s="2"/>
      <c r="P38" s="18"/>
    </row>
    <row r="39" spans="1:16" ht="39.6" x14ac:dyDescent="0.3">
      <c r="A39" s="23">
        <v>36</v>
      </c>
      <c r="B39" s="11" t="s">
        <v>161</v>
      </c>
      <c r="C39" s="1" t="s">
        <v>162</v>
      </c>
      <c r="D39" s="1" t="s">
        <v>163</v>
      </c>
      <c r="E39" s="3" t="s">
        <v>164</v>
      </c>
      <c r="F39" s="15">
        <v>0</v>
      </c>
      <c r="G39" s="15">
        <v>0</v>
      </c>
      <c r="H39" s="15">
        <v>4</v>
      </c>
      <c r="I39" s="2"/>
      <c r="J39" s="17" t="str" cm="1">
        <f t="array" ref="J39">_xlfn.SWITCH(TRIM(I39),"New Member",6000,"Existing Member",5500,"Solo (New Member)",2500,"Solo (Existing Member)",2200,"")</f>
        <v/>
      </c>
      <c r="K39" s="5"/>
      <c r="L39" s="19"/>
      <c r="M39" s="17"/>
      <c r="N39" s="2"/>
      <c r="O39" s="2"/>
      <c r="P39" s="18"/>
    </row>
    <row r="40" spans="1:16" x14ac:dyDescent="0.3">
      <c r="A40" s="23">
        <v>37</v>
      </c>
      <c r="B40" s="11" t="s">
        <v>165</v>
      </c>
      <c r="C40" s="1" t="s">
        <v>166</v>
      </c>
      <c r="D40" s="1" t="s">
        <v>167</v>
      </c>
      <c r="E40" s="3" t="s">
        <v>168</v>
      </c>
      <c r="F40" s="15">
        <v>0</v>
      </c>
      <c r="G40" s="15">
        <v>0</v>
      </c>
      <c r="H40" s="15">
        <v>4</v>
      </c>
      <c r="I40" s="2"/>
      <c r="J40" s="17" t="str" cm="1">
        <f t="array" ref="J40">_xlfn.SWITCH(TRIM(I40),"New Member",6000,"Existing Member",5500,"Solo (New Member)",2500,"Solo (Existing Member)",2200,"")</f>
        <v/>
      </c>
      <c r="K40" s="5"/>
      <c r="L40" s="19"/>
      <c r="M40" s="17"/>
      <c r="N40" s="2"/>
      <c r="O40" s="2"/>
      <c r="P40" s="18"/>
    </row>
    <row r="41" spans="1:16" x14ac:dyDescent="0.3">
      <c r="A41" s="23">
        <v>38</v>
      </c>
      <c r="B41" s="11" t="s">
        <v>169</v>
      </c>
      <c r="C41" s="1" t="s">
        <v>170</v>
      </c>
      <c r="D41" s="1" t="s">
        <v>171</v>
      </c>
      <c r="E41" s="3" t="s">
        <v>172</v>
      </c>
      <c r="F41" s="15">
        <v>0</v>
      </c>
      <c r="G41" s="15">
        <v>1</v>
      </c>
      <c r="H41" s="15">
        <v>2</v>
      </c>
      <c r="I41" s="2"/>
      <c r="J41" s="17" t="str" cm="1">
        <f t="array" ref="J41">_xlfn.SWITCH(TRIM(I41),"New Member",6000,"Existing Member",5500,"Solo (New Member)",2500,"Solo (Existing Member)",2200,"")</f>
        <v/>
      </c>
      <c r="K41" s="5"/>
      <c r="L41" s="19"/>
      <c r="M41" s="17"/>
      <c r="N41" s="2"/>
      <c r="O41" s="2"/>
      <c r="P41" s="18"/>
    </row>
    <row r="42" spans="1:16" ht="39.6" x14ac:dyDescent="0.3">
      <c r="A42" s="23">
        <v>39</v>
      </c>
      <c r="B42" s="11" t="s">
        <v>173</v>
      </c>
      <c r="C42" s="1" t="s">
        <v>174</v>
      </c>
      <c r="D42" s="1" t="s">
        <v>175</v>
      </c>
      <c r="E42" s="3" t="s">
        <v>176</v>
      </c>
      <c r="F42" s="15">
        <v>1</v>
      </c>
      <c r="G42" s="15">
        <v>0</v>
      </c>
      <c r="H42" s="15">
        <v>3</v>
      </c>
      <c r="I42" s="2"/>
      <c r="J42" s="17" t="str" cm="1">
        <f t="array" ref="J42">_xlfn.SWITCH(TRIM(I42),"New Member",6000,"Existing Member",5500,"Solo (New Member)",2500,"Solo (Existing Member)",2200,"")</f>
        <v/>
      </c>
      <c r="K42" s="5"/>
      <c r="L42" s="19"/>
      <c r="M42" s="17"/>
      <c r="N42" s="2"/>
      <c r="O42" s="2"/>
      <c r="P42" s="18"/>
    </row>
    <row r="43" spans="1:16" x14ac:dyDescent="0.3">
      <c r="A43" s="23">
        <v>40</v>
      </c>
      <c r="B43" s="11" t="s">
        <v>177</v>
      </c>
      <c r="C43" s="1" t="s">
        <v>178</v>
      </c>
      <c r="D43" s="1" t="s">
        <v>179</v>
      </c>
      <c r="E43" s="3" t="s">
        <v>180</v>
      </c>
      <c r="F43" s="15">
        <v>0</v>
      </c>
      <c r="G43" s="15">
        <v>0</v>
      </c>
      <c r="H43" s="15">
        <v>3</v>
      </c>
      <c r="I43" s="2"/>
      <c r="J43" s="17" t="str" cm="1">
        <f t="array" ref="J43">_xlfn.SWITCH(TRIM(I43),"New Member",6000,"Existing Member",5500,"Solo (New Member)",2500,"Solo (Existing Member)",2200,"")</f>
        <v/>
      </c>
      <c r="K43" s="5"/>
      <c r="L43" s="19"/>
      <c r="M43" s="17"/>
      <c r="N43" s="2"/>
      <c r="O43" s="2"/>
      <c r="P43" s="18"/>
    </row>
    <row r="44" spans="1:16" x14ac:dyDescent="0.3">
      <c r="A44" s="23">
        <v>41</v>
      </c>
      <c r="B44" s="11" t="s">
        <v>181</v>
      </c>
      <c r="C44" s="1" t="s">
        <v>182</v>
      </c>
      <c r="D44" s="1" t="s">
        <v>183</v>
      </c>
      <c r="E44" s="3" t="s">
        <v>184</v>
      </c>
      <c r="F44" s="15">
        <v>0</v>
      </c>
      <c r="G44" s="15">
        <v>1</v>
      </c>
      <c r="H44" s="15">
        <v>3</v>
      </c>
      <c r="I44" s="2"/>
      <c r="J44" s="17" t="str" cm="1">
        <f t="array" ref="J44">_xlfn.SWITCH(TRIM(I44),"New Member",6000,"Existing Member",5500,"Solo (New Member)",2500,"Solo (Existing Member)",2200,"")</f>
        <v/>
      </c>
      <c r="K44" s="5"/>
      <c r="L44" s="19"/>
      <c r="M44" s="17"/>
      <c r="N44" s="2"/>
      <c r="O44" s="2"/>
      <c r="P44" s="18"/>
    </row>
    <row r="45" spans="1:16" x14ac:dyDescent="0.3">
      <c r="A45" s="23">
        <v>42</v>
      </c>
      <c r="B45" s="11" t="s">
        <v>185</v>
      </c>
      <c r="C45" s="1" t="s">
        <v>186</v>
      </c>
      <c r="D45" s="1" t="s">
        <v>187</v>
      </c>
      <c r="E45" s="3" t="s">
        <v>188</v>
      </c>
      <c r="F45" s="15">
        <v>0</v>
      </c>
      <c r="G45" s="15">
        <v>0</v>
      </c>
      <c r="H45" s="15">
        <v>4</v>
      </c>
      <c r="I45" s="2"/>
      <c r="J45" s="17" t="str" cm="1">
        <f t="array" ref="J45">_xlfn.SWITCH(TRIM(I45),"New Member",6000,"Existing Member",5500,"Solo (New Member)",2500,"Solo (Existing Member)",2200,"")</f>
        <v/>
      </c>
      <c r="K45" s="5"/>
      <c r="L45" s="19"/>
      <c r="M45" s="17"/>
      <c r="N45" s="2"/>
      <c r="O45" s="2"/>
      <c r="P45" s="18"/>
    </row>
    <row r="46" spans="1:16" x14ac:dyDescent="0.3">
      <c r="A46" s="23">
        <v>43</v>
      </c>
      <c r="B46" s="11" t="s">
        <v>189</v>
      </c>
      <c r="C46" s="1" t="s">
        <v>190</v>
      </c>
      <c r="D46" s="1" t="s">
        <v>191</v>
      </c>
      <c r="E46" s="3" t="s">
        <v>192</v>
      </c>
      <c r="F46" s="15">
        <v>0</v>
      </c>
      <c r="G46" s="15">
        <v>1</v>
      </c>
      <c r="H46" s="15">
        <v>4</v>
      </c>
      <c r="I46" s="2"/>
      <c r="J46" s="17" t="str" cm="1">
        <f t="array" ref="J46">_xlfn.SWITCH(TRIM(I46),"New Member",6000,"Existing Member",5500,"Solo (New Member)",2500,"Solo (Existing Member)",2200,"")</f>
        <v/>
      </c>
      <c r="K46" s="5"/>
      <c r="L46" s="19"/>
      <c r="M46" s="17"/>
      <c r="N46" s="2"/>
      <c r="O46" s="2"/>
      <c r="P46" s="18"/>
    </row>
    <row r="47" spans="1:16" x14ac:dyDescent="0.3">
      <c r="A47" s="23">
        <v>44</v>
      </c>
      <c r="B47" s="11" t="s">
        <v>193</v>
      </c>
      <c r="C47" s="1" t="s">
        <v>194</v>
      </c>
      <c r="D47" s="1" t="s">
        <v>195</v>
      </c>
      <c r="E47" s="3" t="s">
        <v>196</v>
      </c>
      <c r="F47" s="15">
        <v>0</v>
      </c>
      <c r="G47" s="15">
        <v>1</v>
      </c>
      <c r="H47" s="15">
        <v>4</v>
      </c>
      <c r="I47" s="2"/>
      <c r="J47" s="17" t="str" cm="1">
        <f t="array" ref="J47">_xlfn.SWITCH(TRIM(I47),"New Member",6000,"Existing Member",5500,"Solo (New Member)",2500,"Solo (Existing Member)",2200,"")</f>
        <v/>
      </c>
      <c r="K47" s="5"/>
      <c r="L47" s="19"/>
      <c r="M47" s="17"/>
      <c r="N47" s="2"/>
      <c r="O47" s="2"/>
      <c r="P47" s="18"/>
    </row>
    <row r="48" spans="1:16" ht="26.4" x14ac:dyDescent="0.3">
      <c r="A48" s="23">
        <v>45</v>
      </c>
      <c r="B48" s="11" t="s">
        <v>197</v>
      </c>
      <c r="C48" s="1" t="s">
        <v>198</v>
      </c>
      <c r="D48" s="1" t="s">
        <v>199</v>
      </c>
      <c r="E48" s="3" t="s">
        <v>200</v>
      </c>
      <c r="F48" s="15">
        <v>0</v>
      </c>
      <c r="G48" s="15">
        <v>0</v>
      </c>
      <c r="H48" s="15">
        <v>4</v>
      </c>
      <c r="I48" s="2"/>
      <c r="J48" s="17" t="str" cm="1">
        <f t="array" ref="J48">_xlfn.SWITCH(TRIM(I48),"New Member",6000,"Existing Member",5500,"Solo (New Member)",2500,"Solo (Existing Member)",2200,"")</f>
        <v/>
      </c>
      <c r="K48" s="5"/>
      <c r="L48" s="19"/>
      <c r="M48" s="17"/>
      <c r="N48" s="2"/>
      <c r="O48" s="2"/>
      <c r="P48" s="18"/>
    </row>
    <row r="49" spans="1:16" ht="39.6" x14ac:dyDescent="0.3">
      <c r="A49" s="23">
        <v>46</v>
      </c>
      <c r="B49" s="11" t="s">
        <v>201</v>
      </c>
      <c r="C49" s="1" t="s">
        <v>202</v>
      </c>
      <c r="D49" s="1" t="s">
        <v>203</v>
      </c>
      <c r="E49" s="3" t="s">
        <v>204</v>
      </c>
      <c r="F49" s="15">
        <v>0</v>
      </c>
      <c r="G49" s="15">
        <v>0</v>
      </c>
      <c r="H49" s="15">
        <v>3</v>
      </c>
      <c r="I49" s="2"/>
      <c r="J49" s="17" t="str" cm="1">
        <f t="array" ref="J49">_xlfn.SWITCH(TRIM(I49),"New Member",6000,"Existing Member",5500,"Solo (New Member)",2500,"Solo (Existing Member)",2200,"")</f>
        <v/>
      </c>
      <c r="K49" s="5"/>
      <c r="L49" s="19"/>
      <c r="M49" s="17"/>
      <c r="N49" s="2"/>
      <c r="O49" s="2"/>
      <c r="P49" s="18"/>
    </row>
    <row r="50" spans="1:16" ht="26.4" x14ac:dyDescent="0.3">
      <c r="A50" s="23">
        <v>47</v>
      </c>
      <c r="B50" s="11" t="s">
        <v>205</v>
      </c>
      <c r="C50" s="1" t="s">
        <v>206</v>
      </c>
      <c r="D50" s="1" t="s">
        <v>207</v>
      </c>
      <c r="E50" s="3" t="s">
        <v>208</v>
      </c>
      <c r="F50" s="15">
        <v>0</v>
      </c>
      <c r="G50" s="15">
        <v>2</v>
      </c>
      <c r="H50" s="15">
        <v>4</v>
      </c>
      <c r="I50" s="2"/>
      <c r="J50" s="17" t="str" cm="1">
        <f t="array" ref="J50">_xlfn.SWITCH(TRIM(I50),"New Member",6000,"Existing Member",5500,"Solo (New Member)",2500,"Solo (Existing Member)",2200,"")</f>
        <v/>
      </c>
      <c r="K50" s="5"/>
      <c r="L50" s="19"/>
      <c r="M50" s="17"/>
      <c r="N50" s="2"/>
      <c r="O50" s="2"/>
      <c r="P50" s="18"/>
    </row>
    <row r="51" spans="1:16" ht="26.4" x14ac:dyDescent="0.3">
      <c r="A51" s="23">
        <v>48</v>
      </c>
      <c r="B51" s="11" t="s">
        <v>209</v>
      </c>
      <c r="C51" s="1" t="s">
        <v>210</v>
      </c>
      <c r="D51" s="1" t="s">
        <v>211</v>
      </c>
      <c r="E51" s="3" t="s">
        <v>212</v>
      </c>
      <c r="F51" s="15">
        <v>0</v>
      </c>
      <c r="G51" s="15">
        <v>0</v>
      </c>
      <c r="H51" s="15">
        <v>4</v>
      </c>
      <c r="I51" s="2"/>
      <c r="J51" s="17" t="str" cm="1">
        <f t="array" ref="J51">_xlfn.SWITCH(TRIM(I51),"New Member",6000,"Existing Member",5500,"Solo (New Member)",2500,"Solo (Existing Member)",2200,"")</f>
        <v/>
      </c>
      <c r="K51" s="5"/>
      <c r="L51" s="19"/>
      <c r="M51" s="17"/>
      <c r="N51" s="2"/>
      <c r="O51" s="2"/>
      <c r="P51" s="18"/>
    </row>
    <row r="52" spans="1:16" ht="26.4" x14ac:dyDescent="0.3">
      <c r="A52" s="23">
        <v>49</v>
      </c>
      <c r="B52" s="11" t="s">
        <v>213</v>
      </c>
      <c r="C52" s="1" t="s">
        <v>214</v>
      </c>
      <c r="D52" s="1" t="s">
        <v>215</v>
      </c>
      <c r="E52" s="3" t="s">
        <v>216</v>
      </c>
      <c r="F52" s="15">
        <v>1</v>
      </c>
      <c r="G52" s="15">
        <v>0</v>
      </c>
      <c r="H52" s="15">
        <v>4</v>
      </c>
      <c r="I52" s="2"/>
      <c r="J52" s="17" t="str" cm="1">
        <f t="array" ref="J52">_xlfn.SWITCH(TRIM(I52),"New Member",6000,"Existing Member",5500,"Solo (New Member)",2500,"Solo (Existing Member)",2200,"")</f>
        <v/>
      </c>
      <c r="K52" s="5"/>
      <c r="L52" s="19"/>
      <c r="M52" s="17"/>
      <c r="N52" s="2"/>
      <c r="O52" s="2"/>
      <c r="P52" s="18"/>
    </row>
    <row r="53" spans="1:16" x14ac:dyDescent="0.3">
      <c r="A53" s="23">
        <v>50</v>
      </c>
      <c r="B53" s="11" t="s">
        <v>217</v>
      </c>
      <c r="C53" s="1" t="s">
        <v>218</v>
      </c>
      <c r="D53" s="1" t="s">
        <v>219</v>
      </c>
      <c r="E53" s="3" t="s">
        <v>220</v>
      </c>
      <c r="F53" s="15">
        <v>0</v>
      </c>
      <c r="G53" s="15">
        <v>1</v>
      </c>
      <c r="H53" s="15">
        <v>3</v>
      </c>
      <c r="I53" s="2"/>
      <c r="J53" s="17" t="str" cm="1">
        <f t="array" ref="J53">_xlfn.SWITCH(TRIM(I53),"New Member",6000,"Existing Member",5500,"Solo (New Member)",2500,"Solo (Existing Member)",2200,"")</f>
        <v/>
      </c>
      <c r="K53" s="5"/>
      <c r="L53" s="19"/>
      <c r="M53" s="17"/>
      <c r="N53" s="2"/>
      <c r="O53" s="2"/>
      <c r="P53" s="18"/>
    </row>
    <row r="54" spans="1:16" ht="39.6" x14ac:dyDescent="0.3">
      <c r="A54" s="23">
        <v>51</v>
      </c>
      <c r="B54" s="11" t="s">
        <v>221</v>
      </c>
      <c r="C54" s="1" t="s">
        <v>222</v>
      </c>
      <c r="D54" s="1" t="s">
        <v>223</v>
      </c>
      <c r="E54" s="3" t="s">
        <v>224</v>
      </c>
      <c r="F54" s="15">
        <v>0</v>
      </c>
      <c r="G54" s="15">
        <v>0</v>
      </c>
      <c r="H54" s="15">
        <v>4</v>
      </c>
      <c r="I54" s="2"/>
      <c r="J54" s="17" t="str" cm="1">
        <f t="array" ref="J54">_xlfn.SWITCH(TRIM(I54),"New Member",6000,"Existing Member",5500,"Solo (New Member)",2500,"Solo (Existing Member)",2200,"")</f>
        <v/>
      </c>
      <c r="K54" s="5"/>
      <c r="L54" s="19"/>
      <c r="M54" s="17"/>
      <c r="N54" s="2"/>
      <c r="O54" s="2"/>
      <c r="P54" s="18"/>
    </row>
    <row r="55" spans="1:16" x14ac:dyDescent="0.3">
      <c r="A55" s="23">
        <v>52</v>
      </c>
      <c r="B55" s="11" t="s">
        <v>225</v>
      </c>
      <c r="C55" s="1" t="s">
        <v>226</v>
      </c>
      <c r="D55" s="1" t="s">
        <v>227</v>
      </c>
      <c r="E55" s="3" t="s">
        <v>228</v>
      </c>
      <c r="F55" s="15">
        <v>0</v>
      </c>
      <c r="G55" s="15">
        <v>1</v>
      </c>
      <c r="H55" s="15">
        <v>3</v>
      </c>
      <c r="I55" s="2"/>
      <c r="J55" s="17" t="str" cm="1">
        <f t="array" ref="J55">_xlfn.SWITCH(TRIM(I55),"New Member",6000,"Existing Member",5500,"Solo (New Member)",2500,"Solo (Existing Member)",2200,"")</f>
        <v/>
      </c>
      <c r="K55" s="5"/>
      <c r="L55" s="19"/>
      <c r="M55" s="17"/>
      <c r="N55" s="2"/>
      <c r="O55" s="2"/>
      <c r="P55" s="18"/>
    </row>
    <row r="56" spans="1:16" x14ac:dyDescent="0.3">
      <c r="A56" s="23">
        <v>53</v>
      </c>
      <c r="B56" s="11" t="s">
        <v>229</v>
      </c>
      <c r="C56" s="1" t="s">
        <v>230</v>
      </c>
      <c r="D56" s="1" t="s">
        <v>231</v>
      </c>
      <c r="E56" s="3" t="s">
        <v>232</v>
      </c>
      <c r="F56" s="15">
        <v>0</v>
      </c>
      <c r="G56" s="15">
        <v>2</v>
      </c>
      <c r="H56" s="15">
        <v>4</v>
      </c>
      <c r="I56" s="2"/>
      <c r="J56" s="17" t="str" cm="1">
        <f t="array" ref="J56">_xlfn.SWITCH(TRIM(I56),"New Member",6000,"Existing Member",5500,"Solo (New Member)",2500,"Solo (Existing Member)",2200,"")</f>
        <v/>
      </c>
      <c r="K56" s="5"/>
      <c r="L56" s="19"/>
      <c r="M56" s="17"/>
      <c r="N56" s="2"/>
      <c r="O56" s="2"/>
      <c r="P56" s="18"/>
    </row>
    <row r="57" spans="1:16" ht="26.4" x14ac:dyDescent="0.3">
      <c r="A57" s="23">
        <v>54</v>
      </c>
      <c r="B57" s="11" t="s">
        <v>233</v>
      </c>
      <c r="C57" s="1" t="s">
        <v>234</v>
      </c>
      <c r="D57" s="1" t="s">
        <v>236</v>
      </c>
      <c r="E57" s="3" t="s">
        <v>235</v>
      </c>
      <c r="F57" s="15">
        <v>0</v>
      </c>
      <c r="G57" s="15">
        <v>1</v>
      </c>
      <c r="H57" s="15">
        <v>2</v>
      </c>
      <c r="I57" s="2"/>
      <c r="J57" s="17" t="str" cm="1">
        <f t="array" ref="J57">_xlfn.SWITCH(TRIM(I57),"New Member",6000,"Existing Member",5500,"Solo (New Member)",2500,"Solo (Existing Member)",2200,"")</f>
        <v/>
      </c>
      <c r="K57" s="5"/>
      <c r="L57" s="19"/>
      <c r="M57" s="17"/>
      <c r="N57" s="2"/>
      <c r="O57" s="2"/>
      <c r="P57" s="18"/>
    </row>
    <row r="58" spans="1:16" x14ac:dyDescent="0.3">
      <c r="A58" s="23">
        <v>55</v>
      </c>
      <c r="B58" s="11" t="s">
        <v>237</v>
      </c>
      <c r="C58" s="1" t="s">
        <v>238</v>
      </c>
      <c r="D58" s="1" t="s">
        <v>239</v>
      </c>
      <c r="E58" s="3" t="s">
        <v>240</v>
      </c>
      <c r="F58" s="15">
        <v>1</v>
      </c>
      <c r="G58" s="15">
        <v>0</v>
      </c>
      <c r="H58" s="15">
        <v>4</v>
      </c>
      <c r="I58" s="2"/>
      <c r="J58" s="17" t="str" cm="1">
        <f t="array" ref="J58">_xlfn.SWITCH(TRIM(I58),"New Member",6000,"Existing Member",5500,"Solo (New Member)",2500,"Solo (Existing Member)",2200,"")</f>
        <v/>
      </c>
      <c r="K58" s="5"/>
      <c r="L58" s="19"/>
      <c r="M58" s="17"/>
      <c r="N58" s="2"/>
      <c r="O58" s="2"/>
      <c r="P58" s="18"/>
    </row>
    <row r="59" spans="1:16" ht="26.4" x14ac:dyDescent="0.3">
      <c r="A59" s="23">
        <v>56</v>
      </c>
      <c r="B59" s="11" t="s">
        <v>241</v>
      </c>
      <c r="C59" s="1" t="s">
        <v>242</v>
      </c>
      <c r="D59" s="1" t="s">
        <v>243</v>
      </c>
      <c r="E59" s="3" t="s">
        <v>244</v>
      </c>
      <c r="F59" s="15">
        <v>1</v>
      </c>
      <c r="G59" s="15">
        <v>0</v>
      </c>
      <c r="H59" s="15">
        <v>3</v>
      </c>
      <c r="I59" s="2"/>
      <c r="J59" s="17" t="str" cm="1">
        <f t="array" ref="J59">_xlfn.SWITCH(TRIM(I59),"New Member",6000,"Existing Member",5500,"Solo (New Member)",2500,"Solo (Existing Member)",2200,"")</f>
        <v/>
      </c>
      <c r="K59" s="5"/>
      <c r="L59" s="19"/>
      <c r="M59" s="17"/>
      <c r="N59" s="2"/>
      <c r="O59" s="2"/>
      <c r="P59" s="18"/>
    </row>
    <row r="60" spans="1:16" ht="39.6" x14ac:dyDescent="0.3">
      <c r="A60" s="23">
        <v>57</v>
      </c>
      <c r="B60" s="11" t="s">
        <v>245</v>
      </c>
      <c r="C60" s="1" t="s">
        <v>246</v>
      </c>
      <c r="D60" s="1" t="s">
        <v>247</v>
      </c>
      <c r="E60" s="3" t="s">
        <v>248</v>
      </c>
      <c r="F60" s="15">
        <v>0</v>
      </c>
      <c r="G60" s="15">
        <v>0</v>
      </c>
      <c r="H60" s="15">
        <v>3</v>
      </c>
      <c r="I60" s="2"/>
      <c r="J60" s="17" t="str" cm="1">
        <f t="array" ref="J60">_xlfn.SWITCH(TRIM(I60),"New Member",6000,"Existing Member",5500,"Solo (New Member)",2500,"Solo (Existing Member)",2200,"")</f>
        <v/>
      </c>
      <c r="K60" s="5"/>
      <c r="L60" s="19"/>
      <c r="M60" s="17"/>
      <c r="N60" s="2"/>
      <c r="O60" s="2"/>
      <c r="P60" s="18"/>
    </row>
    <row r="61" spans="1:16" ht="26.4" x14ac:dyDescent="0.3">
      <c r="A61" s="23">
        <v>58</v>
      </c>
      <c r="B61" s="11" t="s">
        <v>249</v>
      </c>
      <c r="C61" s="1" t="s">
        <v>250</v>
      </c>
      <c r="D61" s="1" t="s">
        <v>251</v>
      </c>
      <c r="E61" s="3" t="s">
        <v>252</v>
      </c>
      <c r="F61" s="15">
        <v>0</v>
      </c>
      <c r="G61" s="15">
        <v>0</v>
      </c>
      <c r="H61" s="15">
        <v>3</v>
      </c>
      <c r="I61" s="2"/>
      <c r="J61" s="17" t="str" cm="1">
        <f t="array" ref="J61">_xlfn.SWITCH(TRIM(I61),"New Member",6000,"Existing Member",5500,"Solo (New Member)",2500,"Solo (Existing Member)",2200,"")</f>
        <v/>
      </c>
      <c r="K61" s="5"/>
      <c r="L61" s="19"/>
      <c r="M61" s="17"/>
      <c r="N61" s="2"/>
      <c r="O61" s="2"/>
      <c r="P61" s="18"/>
    </row>
    <row r="62" spans="1:16" ht="39.6" x14ac:dyDescent="0.3">
      <c r="A62" s="23">
        <v>59</v>
      </c>
      <c r="B62" s="11" t="s">
        <v>253</v>
      </c>
      <c r="C62" s="1" t="s">
        <v>254</v>
      </c>
      <c r="D62" s="1" t="s">
        <v>255</v>
      </c>
      <c r="E62" s="3" t="s">
        <v>256</v>
      </c>
      <c r="F62" s="15">
        <v>0</v>
      </c>
      <c r="G62" s="15">
        <v>0</v>
      </c>
      <c r="H62" s="15">
        <v>4</v>
      </c>
      <c r="I62" s="2"/>
      <c r="J62" s="17" t="str" cm="1">
        <f t="array" ref="J62">_xlfn.SWITCH(TRIM(I62),"New Member",6000,"Existing Member",5500,"Solo (New Member)",2500,"Solo (Existing Member)",2200,"")</f>
        <v/>
      </c>
      <c r="K62" s="5"/>
      <c r="L62" s="19"/>
      <c r="M62" s="17"/>
      <c r="N62" s="2"/>
      <c r="O62" s="2"/>
      <c r="P62" s="18"/>
    </row>
    <row r="63" spans="1:16" ht="26.4" x14ac:dyDescent="0.3">
      <c r="A63" s="23">
        <v>60</v>
      </c>
      <c r="B63" s="11" t="s">
        <v>257</v>
      </c>
      <c r="C63" s="1" t="s">
        <v>258</v>
      </c>
      <c r="D63" s="1" t="s">
        <v>259</v>
      </c>
      <c r="E63" s="3" t="s">
        <v>260</v>
      </c>
      <c r="F63" s="15">
        <v>0</v>
      </c>
      <c r="G63" s="15">
        <v>1</v>
      </c>
      <c r="H63" s="15">
        <v>3</v>
      </c>
      <c r="I63" s="2"/>
      <c r="J63" s="17" t="str" cm="1">
        <f t="array" ref="J63">_xlfn.SWITCH(TRIM(I63),"New Member",6000,"Existing Member",5500,"Solo (New Member)",2500,"Solo (Existing Member)",2200,"")</f>
        <v/>
      </c>
      <c r="K63" s="5"/>
      <c r="L63" s="19"/>
      <c r="M63" s="17"/>
      <c r="N63" s="2"/>
      <c r="O63" s="2"/>
      <c r="P63" s="18"/>
    </row>
    <row r="64" spans="1:16" ht="26.4" x14ac:dyDescent="0.3">
      <c r="A64" s="23">
        <v>61</v>
      </c>
      <c r="B64" s="11" t="s">
        <v>261</v>
      </c>
      <c r="C64" s="1" t="s">
        <v>262</v>
      </c>
      <c r="D64" s="1" t="s">
        <v>263</v>
      </c>
      <c r="E64" s="3" t="s">
        <v>264</v>
      </c>
      <c r="F64" s="15">
        <v>0</v>
      </c>
      <c r="G64" s="15">
        <v>0</v>
      </c>
      <c r="H64" s="15">
        <v>4</v>
      </c>
      <c r="I64" s="2"/>
      <c r="J64" s="17" t="str" cm="1">
        <f t="array" ref="J64">_xlfn.SWITCH(TRIM(I64),"New Member",6000,"Existing Member",5500,"Solo (New Member)",2500,"Solo (Existing Member)",2200,"")</f>
        <v/>
      </c>
      <c r="K64" s="5"/>
      <c r="L64" s="19"/>
      <c r="M64" s="17"/>
      <c r="N64" s="2"/>
      <c r="O64" s="2"/>
      <c r="P64" s="18"/>
    </row>
    <row r="65" spans="1:16" ht="26.4" x14ac:dyDescent="0.3">
      <c r="A65" s="23">
        <v>62</v>
      </c>
      <c r="B65" s="11" t="s">
        <v>265</v>
      </c>
      <c r="C65" s="1" t="s">
        <v>266</v>
      </c>
      <c r="D65" s="1" t="s">
        <v>267</v>
      </c>
      <c r="E65" s="3" t="s">
        <v>268</v>
      </c>
      <c r="F65" s="15">
        <v>0</v>
      </c>
      <c r="G65" s="15">
        <v>1</v>
      </c>
      <c r="H65" s="15">
        <v>4</v>
      </c>
      <c r="I65" s="2"/>
      <c r="J65" s="17" t="str" cm="1">
        <f t="array" ref="J65">_xlfn.SWITCH(TRIM(I65),"New Member",6000,"Existing Member",5500,"Solo (New Member)",2500,"Solo (Existing Member)",2200,"")</f>
        <v/>
      </c>
      <c r="K65" s="5"/>
      <c r="L65" s="19"/>
      <c r="M65" s="17"/>
      <c r="N65" s="2"/>
      <c r="O65" s="2"/>
      <c r="P65" s="18"/>
    </row>
    <row r="66" spans="1:16" ht="26.4" x14ac:dyDescent="0.3">
      <c r="A66" s="23">
        <v>63</v>
      </c>
      <c r="B66" s="11" t="s">
        <v>269</v>
      </c>
      <c r="C66" s="1" t="s">
        <v>270</v>
      </c>
      <c r="D66" s="1" t="s">
        <v>271</v>
      </c>
      <c r="E66" s="3" t="s">
        <v>272</v>
      </c>
      <c r="F66" s="15">
        <v>0</v>
      </c>
      <c r="G66" s="15">
        <v>2</v>
      </c>
      <c r="H66" s="15">
        <v>4</v>
      </c>
      <c r="I66" s="2"/>
      <c r="J66" s="17" t="str" cm="1">
        <f t="array" ref="J66">_xlfn.SWITCH(TRIM(I66),"New Member",6000,"Existing Member",5500,"Solo (New Member)",2500,"Solo (Existing Member)",2200,"")</f>
        <v/>
      </c>
      <c r="K66" s="5"/>
      <c r="L66" s="19"/>
      <c r="M66" s="17"/>
      <c r="N66" s="2"/>
      <c r="O66" s="2"/>
      <c r="P66" s="18"/>
    </row>
    <row r="67" spans="1:16" x14ac:dyDescent="0.3">
      <c r="A67" s="23">
        <v>64</v>
      </c>
      <c r="B67" s="11" t="s">
        <v>273</v>
      </c>
      <c r="C67" s="1" t="s">
        <v>274</v>
      </c>
      <c r="D67" s="1" t="s">
        <v>275</v>
      </c>
      <c r="E67" s="3" t="s">
        <v>276</v>
      </c>
      <c r="F67" s="15">
        <v>0</v>
      </c>
      <c r="G67" s="15">
        <v>1</v>
      </c>
      <c r="H67" s="15">
        <v>4</v>
      </c>
      <c r="I67" s="2"/>
      <c r="J67" s="17" t="str" cm="1">
        <f t="array" ref="J67">_xlfn.SWITCH(TRIM(I67),"New Member",6000,"Existing Member",5500,"Solo (New Member)",2500,"Solo (Existing Member)",2200,"")</f>
        <v/>
      </c>
      <c r="K67" s="5"/>
      <c r="L67" s="19"/>
      <c r="M67" s="17"/>
      <c r="N67" s="2"/>
      <c r="O67" s="2"/>
      <c r="P67" s="18"/>
    </row>
    <row r="68" spans="1:16" ht="39.6" x14ac:dyDescent="0.3">
      <c r="A68" s="23">
        <v>65</v>
      </c>
      <c r="B68" s="11" t="s">
        <v>277</v>
      </c>
      <c r="C68" s="1" t="s">
        <v>278</v>
      </c>
      <c r="D68" s="1" t="s">
        <v>279</v>
      </c>
      <c r="E68" s="3" t="s">
        <v>280</v>
      </c>
      <c r="F68" s="15">
        <v>0</v>
      </c>
      <c r="G68" s="15">
        <v>0</v>
      </c>
      <c r="H68" s="15">
        <v>3</v>
      </c>
      <c r="I68" s="2"/>
      <c r="J68" s="17" t="str" cm="1">
        <f t="array" ref="J68">_xlfn.SWITCH(TRIM(I68),"New Member",6000,"Existing Member",5500,"Solo (New Member)",2500,"Solo (Existing Member)",2200,"")</f>
        <v/>
      </c>
      <c r="K68" s="5"/>
      <c r="L68" s="19"/>
      <c r="M68" s="17"/>
      <c r="N68" s="2"/>
      <c r="O68" s="2"/>
      <c r="P68" s="18"/>
    </row>
    <row r="69" spans="1:16" x14ac:dyDescent="0.3">
      <c r="A69" s="23">
        <v>66</v>
      </c>
      <c r="B69" s="11" t="s">
        <v>281</v>
      </c>
      <c r="C69" s="1" t="s">
        <v>282</v>
      </c>
      <c r="D69" s="1" t="s">
        <v>283</v>
      </c>
      <c r="E69" s="3" t="s">
        <v>284</v>
      </c>
      <c r="F69" s="15">
        <v>0</v>
      </c>
      <c r="G69" s="15">
        <v>2</v>
      </c>
      <c r="H69" s="15">
        <v>4</v>
      </c>
      <c r="I69" s="2"/>
      <c r="J69" s="17" t="str" cm="1">
        <f t="array" ref="J69">_xlfn.SWITCH(TRIM(I69),"New Member",6000,"Existing Member",5500,"Solo (New Member)",2500,"Solo (Existing Member)",2200,"")</f>
        <v/>
      </c>
      <c r="K69" s="5"/>
      <c r="L69" s="19"/>
      <c r="M69" s="17"/>
      <c r="N69" s="2"/>
      <c r="O69" s="2"/>
      <c r="P69" s="18"/>
    </row>
    <row r="70" spans="1:16" x14ac:dyDescent="0.3">
      <c r="A70" s="23">
        <v>67</v>
      </c>
      <c r="B70" s="11" t="s">
        <v>285</v>
      </c>
      <c r="C70" s="1" t="s">
        <v>286</v>
      </c>
      <c r="D70" s="1" t="s">
        <v>287</v>
      </c>
      <c r="E70" s="3" t="s">
        <v>288</v>
      </c>
      <c r="F70" s="15">
        <v>0</v>
      </c>
      <c r="G70" s="15">
        <v>1</v>
      </c>
      <c r="H70" s="15">
        <v>4</v>
      </c>
      <c r="I70" s="2"/>
      <c r="J70" s="17" t="str" cm="1">
        <f t="array" ref="J70">_xlfn.SWITCH(TRIM(I70),"New Member",6000,"Existing Member",5500,"Solo (New Member)",2500,"Solo (Existing Member)",2200,"")</f>
        <v/>
      </c>
      <c r="K70" s="5"/>
      <c r="L70" s="19"/>
      <c r="M70" s="17"/>
      <c r="N70" s="2"/>
      <c r="O70" s="2"/>
      <c r="P70" s="18"/>
    </row>
    <row r="71" spans="1:16" ht="26.4" x14ac:dyDescent="0.3">
      <c r="A71" s="23">
        <v>68</v>
      </c>
      <c r="B71" s="11" t="s">
        <v>289</v>
      </c>
      <c r="C71" s="1" t="s">
        <v>290</v>
      </c>
      <c r="D71" s="1" t="s">
        <v>291</v>
      </c>
      <c r="E71" s="3" t="s">
        <v>292</v>
      </c>
      <c r="F71" s="15">
        <v>0</v>
      </c>
      <c r="G71" s="15">
        <v>1</v>
      </c>
      <c r="H71" s="15">
        <v>2</v>
      </c>
      <c r="I71" s="2"/>
      <c r="J71" s="17" t="str" cm="1">
        <f t="array" ref="J71">_xlfn.SWITCH(TRIM(I71),"New Member",6000,"Existing Member",5500,"Solo (New Member)",2500,"Solo (Existing Member)",2200,"")</f>
        <v/>
      </c>
      <c r="K71" s="5"/>
      <c r="L71" s="19"/>
      <c r="M71" s="17"/>
      <c r="N71" s="2"/>
      <c r="O71" s="2"/>
      <c r="P71" s="18"/>
    </row>
    <row r="72" spans="1:16" x14ac:dyDescent="0.3">
      <c r="A72" s="23">
        <v>69</v>
      </c>
      <c r="B72" s="11" t="s">
        <v>293</v>
      </c>
      <c r="C72" s="1" t="s">
        <v>294</v>
      </c>
      <c r="D72" s="1" t="s">
        <v>295</v>
      </c>
      <c r="E72" s="3" t="s">
        <v>296</v>
      </c>
      <c r="F72" s="15">
        <v>0</v>
      </c>
      <c r="G72" s="15">
        <v>1</v>
      </c>
      <c r="H72" s="15">
        <v>3</v>
      </c>
      <c r="I72" s="2"/>
      <c r="J72" s="17" t="str" cm="1">
        <f t="array" ref="J72">_xlfn.SWITCH(TRIM(I72),"New Member",6000,"Existing Member",5500,"Solo (New Member)",2500,"Solo (Existing Member)",2200,"")</f>
        <v/>
      </c>
      <c r="K72" s="5"/>
      <c r="L72" s="19"/>
      <c r="M72" s="17"/>
      <c r="N72" s="2"/>
      <c r="O72" s="2"/>
      <c r="P72" s="18"/>
    </row>
    <row r="73" spans="1:16" ht="26.4" x14ac:dyDescent="0.3">
      <c r="A73" s="23">
        <v>70</v>
      </c>
      <c r="B73" s="11" t="s">
        <v>297</v>
      </c>
      <c r="C73" s="1" t="s">
        <v>298</v>
      </c>
      <c r="D73" s="1" t="s">
        <v>299</v>
      </c>
      <c r="E73" s="3" t="s">
        <v>300</v>
      </c>
      <c r="F73" s="15">
        <v>1</v>
      </c>
      <c r="G73" s="15">
        <v>0</v>
      </c>
      <c r="H73" s="15">
        <v>3</v>
      </c>
      <c r="I73" s="2"/>
      <c r="J73" s="17" t="str" cm="1">
        <f t="array" ref="J73">_xlfn.SWITCH(TRIM(I73),"New Member",6000,"Existing Member",5500,"Solo (New Member)",2500,"Solo (Existing Member)",2200,"")</f>
        <v/>
      </c>
      <c r="K73" s="5"/>
      <c r="L73" s="19"/>
      <c r="M73" s="17"/>
      <c r="N73" s="2"/>
      <c r="O73" s="2"/>
      <c r="P73" s="18"/>
    </row>
    <row r="74" spans="1:16" ht="26.4" x14ac:dyDescent="0.3">
      <c r="A74" s="23">
        <v>71</v>
      </c>
      <c r="B74" s="11" t="s">
        <v>301</v>
      </c>
      <c r="C74" s="1" t="s">
        <v>302</v>
      </c>
      <c r="D74" s="1" t="s">
        <v>303</v>
      </c>
      <c r="E74" s="3" t="s">
        <v>304</v>
      </c>
      <c r="F74" s="15">
        <v>0</v>
      </c>
      <c r="G74" s="15">
        <v>2</v>
      </c>
      <c r="H74" s="15">
        <v>4</v>
      </c>
      <c r="I74" s="2"/>
      <c r="J74" s="17" t="str" cm="1">
        <f t="array" ref="J74">_xlfn.SWITCH(TRIM(I74),"New Member",6000,"Existing Member",5500,"Solo (New Member)",2500,"Solo (Existing Member)",2200,"")</f>
        <v/>
      </c>
      <c r="K74" s="5"/>
      <c r="L74" s="19"/>
      <c r="M74" s="17"/>
      <c r="N74" s="2"/>
      <c r="O74" s="2"/>
      <c r="P74" s="18"/>
    </row>
    <row r="75" spans="1:16" ht="26.4" x14ac:dyDescent="0.3">
      <c r="A75" s="23">
        <v>72</v>
      </c>
      <c r="B75" s="11" t="s">
        <v>305</v>
      </c>
      <c r="C75" s="1" t="s">
        <v>306</v>
      </c>
      <c r="D75" s="1" t="s">
        <v>307</v>
      </c>
      <c r="E75" s="3" t="s">
        <v>308</v>
      </c>
      <c r="F75" s="15">
        <v>0</v>
      </c>
      <c r="G75" s="15">
        <v>1</v>
      </c>
      <c r="H75" s="15">
        <v>4</v>
      </c>
      <c r="I75" s="2"/>
      <c r="J75" s="17" t="str" cm="1">
        <f t="array" ref="J75">_xlfn.SWITCH(TRIM(I75),"New Member",6000,"Existing Member",5500,"Solo (New Member)",2500,"Solo (Existing Member)",2200,"")</f>
        <v/>
      </c>
      <c r="K75" s="5"/>
      <c r="L75" s="19"/>
      <c r="M75" s="17"/>
      <c r="N75" s="2"/>
      <c r="O75" s="2"/>
      <c r="P75" s="18"/>
    </row>
    <row r="76" spans="1:16" x14ac:dyDescent="0.3">
      <c r="A76" s="23">
        <v>73</v>
      </c>
      <c r="B76" s="11" t="s">
        <v>309</v>
      </c>
      <c r="C76" s="1" t="s">
        <v>310</v>
      </c>
      <c r="D76" s="1" t="s">
        <v>311</v>
      </c>
      <c r="E76" s="3" t="s">
        <v>312</v>
      </c>
      <c r="F76" s="15">
        <v>0</v>
      </c>
      <c r="G76" s="15">
        <v>0</v>
      </c>
      <c r="H76" s="15">
        <v>4</v>
      </c>
      <c r="I76" s="2"/>
      <c r="J76" s="17" t="str" cm="1">
        <f t="array" ref="J76">_xlfn.SWITCH(TRIM(I76),"New Member",6000,"Existing Member",5500,"Solo (New Member)",2500,"Solo (Existing Member)",2200,"")</f>
        <v/>
      </c>
      <c r="K76" s="5"/>
      <c r="L76" s="19"/>
      <c r="M76" s="17"/>
      <c r="N76" s="2"/>
      <c r="O76" s="2"/>
      <c r="P76" s="18"/>
    </row>
    <row r="77" spans="1:16" x14ac:dyDescent="0.3">
      <c r="A77" s="23">
        <v>74</v>
      </c>
      <c r="B77" s="11" t="s">
        <v>313</v>
      </c>
      <c r="C77" s="1" t="s">
        <v>314</v>
      </c>
      <c r="D77" s="1" t="s">
        <v>315</v>
      </c>
      <c r="E77" s="3" t="s">
        <v>316</v>
      </c>
      <c r="F77" s="15">
        <v>1</v>
      </c>
      <c r="G77" s="15">
        <v>1</v>
      </c>
      <c r="H77" s="15">
        <v>2</v>
      </c>
      <c r="I77" s="2"/>
      <c r="J77" s="17" t="str" cm="1">
        <f t="array" ref="J77">_xlfn.SWITCH(TRIM(I77),"New Member",6000,"Existing Member",5500,"Solo (New Member)",2500,"Solo (Existing Member)",2200,"")</f>
        <v/>
      </c>
      <c r="K77" s="5"/>
      <c r="L77" s="19"/>
      <c r="M77" s="17"/>
      <c r="N77" s="2"/>
      <c r="O77" s="2"/>
      <c r="P77" s="18"/>
    </row>
    <row r="78" spans="1:16" ht="26.4" x14ac:dyDescent="0.3">
      <c r="A78" s="23">
        <v>75</v>
      </c>
      <c r="B78" s="11" t="s">
        <v>317</v>
      </c>
      <c r="C78" s="1" t="s">
        <v>318</v>
      </c>
      <c r="D78" s="1" t="s">
        <v>319</v>
      </c>
      <c r="E78" s="3" t="s">
        <v>320</v>
      </c>
      <c r="F78" s="15">
        <v>1</v>
      </c>
      <c r="G78" s="15">
        <v>0</v>
      </c>
      <c r="H78" s="15">
        <v>4</v>
      </c>
      <c r="I78" s="2"/>
      <c r="J78" s="17" t="str" cm="1">
        <f t="array" ref="J78">_xlfn.SWITCH(TRIM(I78),"New Member",6000,"Existing Member",5500,"Solo (New Member)",2500,"Solo (Existing Member)",2200,"")</f>
        <v/>
      </c>
      <c r="K78" s="5"/>
      <c r="L78" s="19"/>
      <c r="M78" s="17"/>
      <c r="N78" s="2"/>
      <c r="O78" s="2"/>
      <c r="P78" s="18"/>
    </row>
    <row r="79" spans="1:16" ht="39.6" x14ac:dyDescent="0.3">
      <c r="A79" s="23">
        <v>76</v>
      </c>
      <c r="B79" s="11" t="s">
        <v>321</v>
      </c>
      <c r="C79" s="1" t="s">
        <v>322</v>
      </c>
      <c r="D79" s="1" t="s">
        <v>323</v>
      </c>
      <c r="E79" s="3" t="s">
        <v>324</v>
      </c>
      <c r="F79" s="15">
        <v>0</v>
      </c>
      <c r="G79" s="15">
        <v>1</v>
      </c>
      <c r="H79" s="15">
        <v>3</v>
      </c>
      <c r="I79" s="2"/>
      <c r="J79" s="17" t="str" cm="1">
        <f t="array" ref="J79">_xlfn.SWITCH(TRIM(I79),"New Member",6000,"Existing Member",5500,"Solo (New Member)",2500,"Solo (Existing Member)",2200,"")</f>
        <v/>
      </c>
      <c r="K79" s="5"/>
      <c r="L79" s="19"/>
      <c r="M79" s="17"/>
      <c r="N79" s="2"/>
      <c r="O79" s="2"/>
      <c r="P79" s="18"/>
    </row>
    <row r="80" spans="1:16" x14ac:dyDescent="0.3">
      <c r="A80" s="23">
        <v>77</v>
      </c>
      <c r="B80" s="11" t="s">
        <v>325</v>
      </c>
      <c r="C80" s="1" t="s">
        <v>326</v>
      </c>
      <c r="D80" s="1" t="s">
        <v>327</v>
      </c>
      <c r="E80" s="3" t="s">
        <v>328</v>
      </c>
      <c r="F80" s="15">
        <v>1</v>
      </c>
      <c r="G80" s="15">
        <v>0</v>
      </c>
      <c r="H80" s="15">
        <v>4</v>
      </c>
      <c r="I80" s="2"/>
      <c r="J80" s="17" t="str" cm="1">
        <f t="array" ref="J80">_xlfn.SWITCH(TRIM(I80),"New Member",6000,"Existing Member",5500,"Solo (New Member)",2500,"Solo (Existing Member)",2200,"")</f>
        <v/>
      </c>
      <c r="K80" s="5"/>
      <c r="L80" s="19"/>
      <c r="M80" s="17"/>
      <c r="N80" s="2"/>
      <c r="O80" s="2"/>
      <c r="P80" s="18"/>
    </row>
    <row r="81" spans="1:16" x14ac:dyDescent="0.3">
      <c r="A81" s="23">
        <v>78</v>
      </c>
      <c r="B81" s="11" t="s">
        <v>329</v>
      </c>
      <c r="C81" s="1" t="s">
        <v>330</v>
      </c>
      <c r="D81" s="1" t="s">
        <v>331</v>
      </c>
      <c r="E81" s="3" t="s">
        <v>332</v>
      </c>
      <c r="F81" s="15">
        <v>0</v>
      </c>
      <c r="G81" s="15">
        <v>1</v>
      </c>
      <c r="H81" s="15">
        <v>4</v>
      </c>
      <c r="I81" s="2"/>
      <c r="J81" s="17" t="str" cm="1">
        <f t="array" ref="J81">_xlfn.SWITCH(TRIM(I81),"New Member",6000,"Existing Member",5500,"Solo (New Member)",2500,"Solo (Existing Member)",2200,"")</f>
        <v/>
      </c>
      <c r="K81" s="5"/>
      <c r="L81" s="19"/>
      <c r="M81" s="17"/>
      <c r="N81" s="2"/>
      <c r="O81" s="2"/>
      <c r="P81" s="18"/>
    </row>
    <row r="82" spans="1:16" ht="26.4" x14ac:dyDescent="0.3">
      <c r="A82" s="23">
        <v>79</v>
      </c>
      <c r="B82" s="11" t="s">
        <v>333</v>
      </c>
      <c r="C82" s="1" t="s">
        <v>334</v>
      </c>
      <c r="D82" s="1" t="s">
        <v>335</v>
      </c>
      <c r="E82" s="3" t="s">
        <v>336</v>
      </c>
      <c r="F82" s="15">
        <v>0</v>
      </c>
      <c r="G82" s="15">
        <v>0</v>
      </c>
      <c r="H82" s="15">
        <v>4</v>
      </c>
      <c r="I82" s="2"/>
      <c r="J82" s="17" t="str" cm="1">
        <f t="array" ref="J82">_xlfn.SWITCH(TRIM(I82),"New Member",6000,"Existing Member",5500,"Solo (New Member)",2500,"Solo (Existing Member)",2200,"")</f>
        <v/>
      </c>
      <c r="K82" s="5"/>
      <c r="L82" s="19"/>
      <c r="M82" s="17"/>
      <c r="N82" s="2"/>
      <c r="O82" s="2"/>
      <c r="P82" s="18"/>
    </row>
    <row r="83" spans="1:16" x14ac:dyDescent="0.3">
      <c r="A83" s="23">
        <v>80</v>
      </c>
      <c r="B83" s="11" t="s">
        <v>337</v>
      </c>
      <c r="C83" s="1" t="s">
        <v>338</v>
      </c>
      <c r="D83" s="1" t="s">
        <v>339</v>
      </c>
      <c r="E83" s="3" t="s">
        <v>340</v>
      </c>
      <c r="F83" s="15">
        <v>0</v>
      </c>
      <c r="G83" s="15">
        <v>0</v>
      </c>
      <c r="H83" s="15">
        <v>3</v>
      </c>
      <c r="I83" s="2"/>
      <c r="J83" s="17" t="str" cm="1">
        <f t="array" ref="J83">_xlfn.SWITCH(TRIM(I83),"New Member",6000,"Existing Member",5500,"Solo (New Member)",2500,"Solo (Existing Member)",2200,"")</f>
        <v/>
      </c>
      <c r="K83" s="5"/>
      <c r="L83" s="19"/>
      <c r="M83" s="17"/>
      <c r="N83" s="2"/>
      <c r="O83" s="2"/>
      <c r="P83" s="18"/>
    </row>
    <row r="84" spans="1:16" ht="26.4" x14ac:dyDescent="0.3">
      <c r="A84" s="23">
        <v>81</v>
      </c>
      <c r="B84" s="11" t="s">
        <v>341</v>
      </c>
      <c r="C84" s="1" t="s">
        <v>342</v>
      </c>
      <c r="D84" s="1" t="s">
        <v>343</v>
      </c>
      <c r="E84" s="3" t="s">
        <v>344</v>
      </c>
      <c r="F84" s="15">
        <v>0</v>
      </c>
      <c r="G84" s="15">
        <v>1</v>
      </c>
      <c r="H84" s="15">
        <v>2</v>
      </c>
      <c r="I84" s="2"/>
      <c r="J84" s="17" t="str" cm="1">
        <f t="array" ref="J84">_xlfn.SWITCH(TRIM(I84),"New Member",6000,"Existing Member",5500,"Solo (New Member)",2500,"Solo (Existing Member)",2200,"")</f>
        <v/>
      </c>
      <c r="K84" s="5"/>
      <c r="L84" s="19"/>
      <c r="M84" s="17"/>
      <c r="N84" s="2"/>
      <c r="O84" s="2"/>
      <c r="P84" s="18"/>
    </row>
    <row r="85" spans="1:16" x14ac:dyDescent="0.3">
      <c r="A85" s="23">
        <v>82</v>
      </c>
      <c r="B85" s="11" t="s">
        <v>345</v>
      </c>
      <c r="C85" s="1" t="s">
        <v>346</v>
      </c>
      <c r="D85" s="1"/>
      <c r="E85" s="3" t="s">
        <v>347</v>
      </c>
      <c r="F85" s="15">
        <v>1</v>
      </c>
      <c r="G85" s="15">
        <v>1</v>
      </c>
      <c r="H85" s="15">
        <v>4</v>
      </c>
      <c r="I85" s="2"/>
      <c r="J85" s="17" t="str" cm="1">
        <f t="array" ref="J85">_xlfn.SWITCH(TRIM(I85),"New Member",6000,"Existing Member",5500,"Solo (New Member)",2500,"Solo (Existing Member)",2200,"")</f>
        <v/>
      </c>
      <c r="K85" s="5"/>
      <c r="L85" s="19"/>
      <c r="M85" s="17"/>
      <c r="N85" s="2"/>
      <c r="O85" s="2"/>
      <c r="P85" s="18"/>
    </row>
    <row r="86" spans="1:16" x14ac:dyDescent="0.3">
      <c r="A86" s="23">
        <v>83</v>
      </c>
      <c r="B86" s="11" t="s">
        <v>348</v>
      </c>
      <c r="C86" s="1" t="s">
        <v>349</v>
      </c>
      <c r="D86" s="1" t="s">
        <v>350</v>
      </c>
      <c r="E86" s="3" t="s">
        <v>172</v>
      </c>
      <c r="F86" s="15">
        <v>0</v>
      </c>
      <c r="G86" s="15">
        <v>1</v>
      </c>
      <c r="H86" s="15">
        <v>4</v>
      </c>
      <c r="I86" s="2"/>
      <c r="J86" s="17" t="str" cm="1">
        <f t="array" ref="J86">_xlfn.SWITCH(TRIM(I86),"New Member",6000,"Existing Member",5500,"Solo (New Member)",2500,"Solo (Existing Member)",2200,"")</f>
        <v/>
      </c>
      <c r="K86" s="5"/>
      <c r="L86" s="19"/>
      <c r="M86" s="17"/>
      <c r="N86" s="2"/>
      <c r="O86" s="2"/>
      <c r="P86" s="18"/>
    </row>
    <row r="87" spans="1:16" x14ac:dyDescent="0.3">
      <c r="A87" s="23">
        <v>84</v>
      </c>
      <c r="B87" s="11" t="s">
        <v>351</v>
      </c>
      <c r="C87" s="1" t="s">
        <v>352</v>
      </c>
      <c r="D87" s="1" t="s">
        <v>353</v>
      </c>
      <c r="E87" s="3" t="s">
        <v>354</v>
      </c>
      <c r="F87" s="15">
        <v>0</v>
      </c>
      <c r="G87" s="15">
        <v>1</v>
      </c>
      <c r="H87" s="15">
        <v>4</v>
      </c>
      <c r="I87" s="2"/>
      <c r="J87" s="17" t="str" cm="1">
        <f t="array" ref="J87">_xlfn.SWITCH(TRIM(I87),"New Member",6000,"Existing Member",5500,"Solo (New Member)",2500,"Solo (Existing Member)",2200,"")</f>
        <v/>
      </c>
      <c r="K87" s="5"/>
      <c r="L87" s="19"/>
      <c r="M87" s="17"/>
      <c r="N87" s="2"/>
      <c r="O87" s="2"/>
      <c r="P87" s="18"/>
    </row>
    <row r="88" spans="1:16" x14ac:dyDescent="0.3">
      <c r="A88" s="23">
        <v>85</v>
      </c>
      <c r="B88" s="11" t="s">
        <v>355</v>
      </c>
      <c r="C88" s="1" t="s">
        <v>356</v>
      </c>
      <c r="D88" s="1" t="s">
        <v>357</v>
      </c>
      <c r="E88" s="3" t="s">
        <v>358</v>
      </c>
      <c r="F88" s="15">
        <v>0</v>
      </c>
      <c r="G88" s="15">
        <v>1</v>
      </c>
      <c r="H88" s="15">
        <v>2</v>
      </c>
      <c r="I88" s="2"/>
      <c r="J88" s="17" t="str" cm="1">
        <f t="array" ref="J88">_xlfn.SWITCH(TRIM(I88),"New Member",6000,"Existing Member",5500,"Solo (New Member)",2500,"Solo (Existing Member)",2200,"")</f>
        <v/>
      </c>
      <c r="K88" s="5"/>
      <c r="L88" s="19"/>
      <c r="M88" s="17"/>
      <c r="N88" s="2"/>
      <c r="O88" s="2"/>
      <c r="P88" s="18"/>
    </row>
    <row r="89" spans="1:16" x14ac:dyDescent="0.3">
      <c r="A89" s="23">
        <v>86</v>
      </c>
      <c r="B89" s="11" t="s">
        <v>359</v>
      </c>
      <c r="C89" s="1" t="s">
        <v>360</v>
      </c>
      <c r="D89" s="1" t="s">
        <v>361</v>
      </c>
      <c r="E89" s="3" t="s">
        <v>362</v>
      </c>
      <c r="F89" s="15">
        <v>1</v>
      </c>
      <c r="G89" s="15">
        <v>0</v>
      </c>
      <c r="H89" s="15">
        <v>4</v>
      </c>
      <c r="I89" s="2"/>
      <c r="J89" s="17" t="str" cm="1">
        <f t="array" ref="J89">_xlfn.SWITCH(TRIM(I89),"New Member",6000,"Existing Member",5500,"Solo (New Member)",2500,"Solo (Existing Member)",2200,"")</f>
        <v/>
      </c>
      <c r="K89" s="5"/>
      <c r="L89" s="19"/>
      <c r="M89" s="17"/>
      <c r="N89" s="2"/>
      <c r="O89" s="2"/>
      <c r="P89" s="18"/>
    </row>
    <row r="90" spans="1:16" ht="26.4" x14ac:dyDescent="0.3">
      <c r="A90" s="23">
        <v>87</v>
      </c>
      <c r="B90" s="11" t="s">
        <v>363</v>
      </c>
      <c r="C90" s="1" t="s">
        <v>364</v>
      </c>
      <c r="D90" s="1" t="s">
        <v>365</v>
      </c>
      <c r="E90" s="3" t="s">
        <v>366</v>
      </c>
      <c r="F90" s="15">
        <v>0</v>
      </c>
      <c r="G90" s="15">
        <v>1</v>
      </c>
      <c r="H90" s="15">
        <v>4</v>
      </c>
      <c r="I90" s="2"/>
      <c r="J90" s="17" t="str" cm="1">
        <f t="array" ref="J90">_xlfn.SWITCH(TRIM(I90),"New Member",6000,"Existing Member",5500,"Solo (New Member)",2500,"Solo (Existing Member)",2200,"")</f>
        <v/>
      </c>
      <c r="K90" s="5"/>
      <c r="L90" s="19"/>
      <c r="M90" s="17"/>
      <c r="N90" s="2"/>
      <c r="O90" s="2"/>
      <c r="P90" s="18"/>
    </row>
    <row r="91" spans="1:16" x14ac:dyDescent="0.3">
      <c r="A91" s="23">
        <v>88</v>
      </c>
      <c r="B91" s="11" t="s">
        <v>367</v>
      </c>
      <c r="C91" s="1" t="s">
        <v>368</v>
      </c>
      <c r="D91" s="1" t="s">
        <v>369</v>
      </c>
      <c r="E91" s="3" t="s">
        <v>370</v>
      </c>
      <c r="F91" s="15">
        <v>0</v>
      </c>
      <c r="G91" s="15">
        <v>1</v>
      </c>
      <c r="H91" s="15">
        <v>4</v>
      </c>
      <c r="I91" s="2"/>
      <c r="J91" s="17" t="str" cm="1">
        <f t="array" ref="J91">_xlfn.SWITCH(TRIM(I91),"New Member",6000,"Existing Member",5500,"Solo (New Member)",2500,"Solo (Existing Member)",2200,"")</f>
        <v/>
      </c>
      <c r="K91" s="5"/>
      <c r="L91" s="19"/>
      <c r="M91" s="17"/>
      <c r="N91" s="2"/>
      <c r="O91" s="2"/>
      <c r="P91" s="18"/>
    </row>
    <row r="92" spans="1:16" x14ac:dyDescent="0.3">
      <c r="A92" s="23">
        <v>89</v>
      </c>
      <c r="B92" s="11" t="s">
        <v>371</v>
      </c>
      <c r="C92" s="1" t="s">
        <v>372</v>
      </c>
      <c r="D92" s="1" t="s">
        <v>373</v>
      </c>
      <c r="E92" s="3" t="s">
        <v>374</v>
      </c>
      <c r="F92" s="15">
        <v>0</v>
      </c>
      <c r="G92" s="15">
        <v>0</v>
      </c>
      <c r="H92" s="15">
        <v>4</v>
      </c>
      <c r="I92" s="2"/>
      <c r="J92" s="17" t="str" cm="1">
        <f t="array" ref="J92">_xlfn.SWITCH(TRIM(I92),"New Member",6000,"Existing Member",5500,"Solo (New Member)",2500,"Solo (Existing Member)",2200,"")</f>
        <v/>
      </c>
      <c r="K92" s="5"/>
      <c r="L92" s="19"/>
      <c r="M92" s="17"/>
      <c r="N92" s="2"/>
      <c r="O92" s="2"/>
      <c r="P92" s="18"/>
    </row>
    <row r="93" spans="1:16" x14ac:dyDescent="0.3">
      <c r="A93" s="23">
        <v>90</v>
      </c>
      <c r="B93" s="11" t="s">
        <v>375</v>
      </c>
      <c r="C93" s="1" t="s">
        <v>376</v>
      </c>
      <c r="D93" s="1" t="s">
        <v>377</v>
      </c>
      <c r="E93" s="3" t="s">
        <v>378</v>
      </c>
      <c r="F93" s="15">
        <v>0</v>
      </c>
      <c r="G93" s="15">
        <v>1</v>
      </c>
      <c r="H93" s="15">
        <v>2</v>
      </c>
      <c r="I93" s="2"/>
      <c r="J93" s="17" t="str" cm="1">
        <f t="array" ref="J93">_xlfn.SWITCH(TRIM(I93),"New Member",6000,"Existing Member",5500,"Solo (New Member)",2500,"Solo (Existing Member)",2200,"")</f>
        <v/>
      </c>
      <c r="K93" s="5"/>
      <c r="L93" s="19"/>
      <c r="M93" s="17"/>
      <c r="N93" s="2"/>
      <c r="O93" s="2"/>
      <c r="P93" s="18"/>
    </row>
    <row r="94" spans="1:16" ht="26.4" x14ac:dyDescent="0.3">
      <c r="A94" s="23">
        <v>91</v>
      </c>
      <c r="B94" s="11" t="s">
        <v>379</v>
      </c>
      <c r="C94" s="1" t="s">
        <v>380</v>
      </c>
      <c r="D94" s="1" t="s">
        <v>381</v>
      </c>
      <c r="E94" s="3" t="s">
        <v>382</v>
      </c>
      <c r="F94" s="15">
        <v>0</v>
      </c>
      <c r="G94" s="15">
        <v>0</v>
      </c>
      <c r="H94" s="15">
        <v>4</v>
      </c>
      <c r="I94" s="2"/>
      <c r="J94" s="17" t="str" cm="1">
        <f t="array" ref="J94">_xlfn.SWITCH(TRIM(I94),"New Member",6000,"Existing Member",5500,"Solo (New Member)",2500,"Solo (Existing Member)",2200,"")</f>
        <v/>
      </c>
      <c r="K94" s="5"/>
      <c r="L94" s="19"/>
      <c r="M94" s="17"/>
      <c r="N94" s="2"/>
      <c r="O94" s="2"/>
      <c r="P94" s="18"/>
    </row>
    <row r="95" spans="1:16" x14ac:dyDescent="0.3">
      <c r="A95" s="23">
        <v>92</v>
      </c>
      <c r="B95" s="11" t="s">
        <v>383</v>
      </c>
      <c r="C95" s="1" t="s">
        <v>384</v>
      </c>
      <c r="D95" s="1" t="s">
        <v>385</v>
      </c>
      <c r="E95" s="3" t="s">
        <v>386</v>
      </c>
      <c r="F95" s="15">
        <v>0</v>
      </c>
      <c r="G95" s="15">
        <v>0</v>
      </c>
      <c r="H95" s="15">
        <v>3</v>
      </c>
      <c r="I95" s="2"/>
      <c r="J95" s="17" t="str" cm="1">
        <f t="array" ref="J95">_xlfn.SWITCH(TRIM(I95),"New Member",6000,"Existing Member",5500,"Solo (New Member)",2500,"Solo (Existing Member)",2200,"")</f>
        <v/>
      </c>
      <c r="K95" s="5"/>
      <c r="L95" s="19"/>
      <c r="M95" s="17"/>
      <c r="N95" s="2"/>
      <c r="O95" s="2"/>
      <c r="P95" s="18"/>
    </row>
    <row r="96" spans="1:16" ht="26.4" x14ac:dyDescent="0.3">
      <c r="A96" s="23">
        <v>93</v>
      </c>
      <c r="B96" s="11" t="s">
        <v>387</v>
      </c>
      <c r="C96" s="1" t="s">
        <v>388</v>
      </c>
      <c r="D96" s="1" t="s">
        <v>389</v>
      </c>
      <c r="E96" s="3" t="s">
        <v>390</v>
      </c>
      <c r="F96" s="15">
        <v>1</v>
      </c>
      <c r="G96" s="15">
        <v>0</v>
      </c>
      <c r="H96" s="15">
        <v>3</v>
      </c>
      <c r="I96" s="2"/>
      <c r="J96" s="17" t="str" cm="1">
        <f t="array" ref="J96">_xlfn.SWITCH(TRIM(I96),"New Member",6000,"Existing Member",5500,"Solo (New Member)",2500,"Solo (Existing Member)",2200,"")</f>
        <v/>
      </c>
      <c r="K96" s="5"/>
      <c r="L96" s="19"/>
      <c r="M96" s="17"/>
      <c r="N96" s="2"/>
      <c r="O96" s="2"/>
      <c r="P96" s="18"/>
    </row>
    <row r="97" spans="1:16" x14ac:dyDescent="0.3">
      <c r="A97" s="23">
        <v>94</v>
      </c>
      <c r="B97" s="11" t="s">
        <v>391</v>
      </c>
      <c r="C97" s="1" t="s">
        <v>392</v>
      </c>
      <c r="D97" s="1" t="s">
        <v>393</v>
      </c>
      <c r="E97" s="3" t="s">
        <v>394</v>
      </c>
      <c r="F97" s="15">
        <v>0</v>
      </c>
      <c r="G97" s="15">
        <v>2</v>
      </c>
      <c r="H97" s="15">
        <v>2</v>
      </c>
      <c r="I97" s="2"/>
      <c r="J97" s="17" t="str" cm="1">
        <f t="array" ref="J97">_xlfn.SWITCH(TRIM(I97),"New Member",6000,"Existing Member",5500,"Solo (New Member)",2500,"Solo (Existing Member)",2200,"")</f>
        <v/>
      </c>
      <c r="K97" s="5"/>
      <c r="L97" s="19"/>
      <c r="M97" s="17"/>
      <c r="N97" s="2"/>
      <c r="O97" s="2"/>
      <c r="P97" s="18"/>
    </row>
    <row r="98" spans="1:16" x14ac:dyDescent="0.3">
      <c r="A98" s="23">
        <v>95</v>
      </c>
      <c r="B98" s="11" t="s">
        <v>395</v>
      </c>
      <c r="C98" s="1" t="s">
        <v>396</v>
      </c>
      <c r="D98" s="1" t="s">
        <v>397</v>
      </c>
      <c r="E98" s="3" t="s">
        <v>398</v>
      </c>
      <c r="F98" s="15">
        <v>0</v>
      </c>
      <c r="G98" s="15">
        <v>1</v>
      </c>
      <c r="H98" s="15">
        <v>3</v>
      </c>
      <c r="I98" s="2"/>
      <c r="J98" s="17" t="str" cm="1">
        <f t="array" ref="J98">_xlfn.SWITCH(TRIM(I98),"New Member",6000,"Existing Member",5500,"Solo (New Member)",2500,"Solo (Existing Member)",2200,"")</f>
        <v/>
      </c>
      <c r="K98" s="5"/>
      <c r="L98" s="19"/>
      <c r="M98" s="17"/>
      <c r="N98" s="2"/>
      <c r="O98" s="2"/>
      <c r="P98" s="18"/>
    </row>
    <row r="99" spans="1:16" x14ac:dyDescent="0.3">
      <c r="A99" s="23">
        <v>96</v>
      </c>
      <c r="B99" s="11" t="s">
        <v>399</v>
      </c>
      <c r="C99" s="1" t="s">
        <v>400</v>
      </c>
      <c r="D99" s="1" t="s">
        <v>401</v>
      </c>
      <c r="E99" s="3" t="s">
        <v>402</v>
      </c>
      <c r="F99" s="15">
        <v>0</v>
      </c>
      <c r="G99" s="15">
        <v>0</v>
      </c>
      <c r="H99" s="15">
        <v>3</v>
      </c>
      <c r="I99" s="2"/>
      <c r="J99" s="17" t="str" cm="1">
        <f t="array" ref="J99">_xlfn.SWITCH(TRIM(I99),"New Member",6000,"Existing Member",5500,"Solo (New Member)",2500,"Solo (Existing Member)",2200,"")</f>
        <v/>
      </c>
      <c r="K99" s="5"/>
      <c r="L99" s="19"/>
      <c r="M99" s="17"/>
      <c r="N99" s="2"/>
      <c r="O99" s="2"/>
      <c r="P99" s="18"/>
    </row>
    <row r="100" spans="1:16" ht="26.4" x14ac:dyDescent="0.3">
      <c r="A100" s="23">
        <v>97</v>
      </c>
      <c r="B100" s="11" t="s">
        <v>403</v>
      </c>
      <c r="C100" s="1" t="s">
        <v>404</v>
      </c>
      <c r="D100" s="1" t="s">
        <v>405</v>
      </c>
      <c r="E100" s="3" t="s">
        <v>406</v>
      </c>
      <c r="F100" s="15">
        <v>1</v>
      </c>
      <c r="G100" s="15">
        <v>1</v>
      </c>
      <c r="H100" s="15">
        <v>3</v>
      </c>
      <c r="I100" s="2"/>
      <c r="J100" s="17" t="str" cm="1">
        <f t="array" ref="J100">_xlfn.SWITCH(TRIM(I100),"New Member",6000,"Existing Member",5500,"Solo (New Member)",2500,"Solo (Existing Member)",2200,"")</f>
        <v/>
      </c>
      <c r="K100" s="5"/>
      <c r="L100" s="19"/>
      <c r="M100" s="17"/>
      <c r="N100" s="2"/>
      <c r="O100" s="2"/>
      <c r="P100" s="18"/>
    </row>
    <row r="101" spans="1:16" ht="26.4" x14ac:dyDescent="0.3">
      <c r="A101" s="23">
        <v>98</v>
      </c>
      <c r="B101" s="11" t="s">
        <v>407</v>
      </c>
      <c r="C101" s="1" t="s">
        <v>408</v>
      </c>
      <c r="D101" s="1" t="s">
        <v>409</v>
      </c>
      <c r="E101" s="3" t="s">
        <v>410</v>
      </c>
      <c r="F101" s="15">
        <v>1</v>
      </c>
      <c r="G101" s="15">
        <v>1</v>
      </c>
      <c r="H101" s="15">
        <v>4</v>
      </c>
      <c r="I101" s="2"/>
      <c r="J101" s="17" t="str" cm="1">
        <f t="array" ref="J101">_xlfn.SWITCH(TRIM(I101),"New Member",6000,"Existing Member",5500,"Solo (New Member)",2500,"Solo (Existing Member)",2200,"")</f>
        <v/>
      </c>
      <c r="K101" s="5"/>
      <c r="L101" s="19"/>
      <c r="M101" s="17"/>
      <c r="N101" s="2"/>
      <c r="O101" s="2"/>
      <c r="P101" s="18"/>
    </row>
    <row r="102" spans="1:16" ht="26.4" x14ac:dyDescent="0.3">
      <c r="A102" s="23">
        <v>99</v>
      </c>
      <c r="B102" s="11" t="s">
        <v>411</v>
      </c>
      <c r="C102" s="1" t="s">
        <v>412</v>
      </c>
      <c r="D102" s="1" t="s">
        <v>413</v>
      </c>
      <c r="E102" s="3" t="s">
        <v>414</v>
      </c>
      <c r="F102" s="15">
        <v>0</v>
      </c>
      <c r="G102" s="15">
        <v>1</v>
      </c>
      <c r="H102" s="15">
        <v>4</v>
      </c>
      <c r="I102" s="2"/>
      <c r="J102" s="17" t="str" cm="1">
        <f t="array" ref="J102">_xlfn.SWITCH(TRIM(I102),"New Member",6000,"Existing Member",5500,"Solo (New Member)",2500,"Solo (Existing Member)",2200,"")</f>
        <v/>
      </c>
      <c r="K102" s="5"/>
      <c r="L102" s="19"/>
      <c r="M102" s="17"/>
      <c r="N102" s="2"/>
      <c r="O102" s="2"/>
      <c r="P102" s="18"/>
    </row>
    <row r="103" spans="1:16" ht="26.4" x14ac:dyDescent="0.3">
      <c r="A103" s="23">
        <v>100</v>
      </c>
      <c r="B103" s="11" t="s">
        <v>415</v>
      </c>
      <c r="C103" s="1" t="s">
        <v>416</v>
      </c>
      <c r="D103" s="1" t="s">
        <v>417</v>
      </c>
      <c r="E103" s="3" t="s">
        <v>418</v>
      </c>
      <c r="F103" s="15">
        <v>0</v>
      </c>
      <c r="G103" s="15">
        <v>0</v>
      </c>
      <c r="H103" s="15">
        <v>4</v>
      </c>
      <c r="I103" s="2"/>
      <c r="J103" s="17" t="str" cm="1">
        <f t="array" ref="J103">_xlfn.SWITCH(TRIM(I103),"New Member",6000,"Existing Member",5500,"Solo (New Member)",2500,"Solo (Existing Member)",2200,"")</f>
        <v/>
      </c>
      <c r="K103" s="5"/>
      <c r="L103" s="19"/>
      <c r="M103" s="17"/>
      <c r="N103" s="2"/>
      <c r="O103" s="2"/>
      <c r="P103" s="18"/>
    </row>
    <row r="104" spans="1:16" ht="39.6" x14ac:dyDescent="0.3">
      <c r="A104" s="23">
        <v>101</v>
      </c>
      <c r="B104" s="11" t="s">
        <v>419</v>
      </c>
      <c r="C104" s="1" t="s">
        <v>420</v>
      </c>
      <c r="D104" s="1"/>
      <c r="E104" s="3" t="s">
        <v>421</v>
      </c>
      <c r="F104" s="15">
        <v>1</v>
      </c>
      <c r="G104" s="15">
        <v>1</v>
      </c>
      <c r="H104" s="15">
        <v>4</v>
      </c>
      <c r="I104" s="2"/>
      <c r="J104" s="17" t="str" cm="1">
        <f t="array" ref="J104">_xlfn.SWITCH(TRIM(I104),"New Member",6000,"Existing Member",5500,"Solo (New Member)",2500,"Solo (Existing Member)",2200,"")</f>
        <v/>
      </c>
      <c r="K104" s="5"/>
      <c r="L104" s="19"/>
      <c r="M104" s="17"/>
      <c r="N104" s="2"/>
      <c r="O104" s="2"/>
      <c r="P104" s="18"/>
    </row>
    <row r="105" spans="1:16" x14ac:dyDescent="0.3">
      <c r="A105" s="23">
        <v>102</v>
      </c>
      <c r="B105" s="11" t="s">
        <v>422</v>
      </c>
      <c r="C105" s="1" t="s">
        <v>423</v>
      </c>
      <c r="D105" s="1" t="s">
        <v>424</v>
      </c>
      <c r="E105" s="3" t="s">
        <v>425</v>
      </c>
      <c r="F105" s="15">
        <v>2</v>
      </c>
      <c r="G105" s="15">
        <v>2</v>
      </c>
      <c r="H105" s="15">
        <v>4</v>
      </c>
      <c r="I105" s="2"/>
      <c r="J105" s="17" t="str" cm="1">
        <f t="array" ref="J105">_xlfn.SWITCH(TRIM(I105),"New Member",6000,"Existing Member",5500,"Solo (New Member)",2500,"Solo (Existing Member)",2200,"")</f>
        <v/>
      </c>
      <c r="K105" s="5"/>
      <c r="L105" s="19"/>
      <c r="M105" s="17"/>
      <c r="N105" s="2"/>
      <c r="O105" s="2"/>
      <c r="P105" s="18"/>
    </row>
    <row r="106" spans="1:16" x14ac:dyDescent="0.3">
      <c r="A106" s="23">
        <v>103</v>
      </c>
      <c r="B106" s="11" t="s">
        <v>426</v>
      </c>
      <c r="C106" s="1" t="s">
        <v>427</v>
      </c>
      <c r="D106" s="1" t="s">
        <v>428</v>
      </c>
      <c r="E106" s="3" t="s">
        <v>429</v>
      </c>
      <c r="F106" s="15">
        <v>0</v>
      </c>
      <c r="G106" s="15">
        <v>1</v>
      </c>
      <c r="H106" s="15">
        <v>4</v>
      </c>
      <c r="I106" s="2"/>
      <c r="J106" s="17" t="str" cm="1">
        <f t="array" ref="J106">_xlfn.SWITCH(TRIM(I106),"New Member",6000,"Existing Member",5500,"Solo (New Member)",2500,"Solo (Existing Member)",2200,"")</f>
        <v/>
      </c>
      <c r="K106" s="5"/>
      <c r="L106" s="19"/>
      <c r="M106" s="17"/>
      <c r="N106" s="2"/>
      <c r="O106" s="2"/>
      <c r="P106" s="18"/>
    </row>
    <row r="107" spans="1:16" x14ac:dyDescent="0.3">
      <c r="A107" s="23">
        <v>104</v>
      </c>
      <c r="B107" s="11" t="s">
        <v>430</v>
      </c>
      <c r="C107" s="1" t="s">
        <v>431</v>
      </c>
      <c r="D107" s="1" t="s">
        <v>432</v>
      </c>
      <c r="E107" s="3" t="s">
        <v>433</v>
      </c>
      <c r="F107" s="15">
        <v>1</v>
      </c>
      <c r="G107" s="15">
        <v>0</v>
      </c>
      <c r="H107" s="15">
        <v>3</v>
      </c>
      <c r="I107" s="2"/>
      <c r="J107" s="17" t="str" cm="1">
        <f t="array" ref="J107">_xlfn.SWITCH(TRIM(I107),"New Member",6000,"Existing Member",5500,"Solo (New Member)",2500,"Solo (Existing Member)",2200,"")</f>
        <v/>
      </c>
      <c r="K107" s="5"/>
      <c r="L107" s="19"/>
      <c r="M107" s="17"/>
      <c r="N107" s="2"/>
      <c r="O107" s="2"/>
      <c r="P107" s="18"/>
    </row>
    <row r="108" spans="1:16" ht="52.8" x14ac:dyDescent="0.3">
      <c r="A108" s="23">
        <v>105</v>
      </c>
      <c r="B108" s="11" t="s">
        <v>434</v>
      </c>
      <c r="C108" s="1" t="s">
        <v>435</v>
      </c>
      <c r="D108" s="1" t="s">
        <v>436</v>
      </c>
      <c r="E108" s="3" t="s">
        <v>437</v>
      </c>
      <c r="F108" s="15">
        <v>0</v>
      </c>
      <c r="G108" s="15">
        <v>0</v>
      </c>
      <c r="H108" s="15">
        <v>3</v>
      </c>
      <c r="I108" s="2"/>
      <c r="J108" s="17" t="str" cm="1">
        <f t="array" ref="J108">_xlfn.SWITCH(TRIM(I108),"New Member",6000,"Existing Member",5500,"Solo (New Member)",2500,"Solo (Existing Member)",2200,"")</f>
        <v/>
      </c>
      <c r="K108" s="5"/>
      <c r="L108" s="19"/>
      <c r="M108" s="17"/>
      <c r="N108" s="2"/>
      <c r="O108" s="2"/>
      <c r="P108" s="18"/>
    </row>
    <row r="109" spans="1:16" ht="26.4" x14ac:dyDescent="0.3">
      <c r="A109" s="23">
        <v>106</v>
      </c>
      <c r="B109" s="11" t="s">
        <v>438</v>
      </c>
      <c r="C109" s="1" t="s">
        <v>439</v>
      </c>
      <c r="D109" s="1" t="s">
        <v>440</v>
      </c>
      <c r="E109" s="3" t="s">
        <v>441</v>
      </c>
      <c r="F109" s="15">
        <v>0</v>
      </c>
      <c r="G109" s="15">
        <v>0</v>
      </c>
      <c r="H109" s="15">
        <v>3</v>
      </c>
      <c r="I109" s="2"/>
      <c r="J109" s="17" t="str" cm="1">
        <f t="array" ref="J109">_xlfn.SWITCH(TRIM(I109),"New Member",6000,"Existing Member",5500,"Solo (New Member)",2500,"Solo (Existing Member)",2200,"")</f>
        <v/>
      </c>
      <c r="K109" s="5"/>
      <c r="L109" s="19"/>
      <c r="M109" s="17"/>
      <c r="N109" s="2"/>
      <c r="O109" s="2"/>
      <c r="P109" s="18"/>
    </row>
    <row r="110" spans="1:16" ht="26.4" x14ac:dyDescent="0.3">
      <c r="A110" s="23">
        <v>107</v>
      </c>
      <c r="B110" s="11" t="s">
        <v>442</v>
      </c>
      <c r="C110" s="1" t="s">
        <v>443</v>
      </c>
      <c r="D110" s="1" t="s">
        <v>444</v>
      </c>
      <c r="E110" s="3" t="s">
        <v>445</v>
      </c>
      <c r="F110" s="15">
        <v>0</v>
      </c>
      <c r="G110" s="15">
        <v>0</v>
      </c>
      <c r="H110" s="15">
        <v>4</v>
      </c>
      <c r="I110" s="2"/>
      <c r="J110" s="17" t="str" cm="1">
        <f t="array" ref="J110">_xlfn.SWITCH(TRIM(I110),"New Member",6000,"Existing Member",5500,"Solo (New Member)",2500,"Solo (Existing Member)",2200,"")</f>
        <v/>
      </c>
      <c r="K110" s="5"/>
      <c r="L110" s="19"/>
      <c r="M110" s="17"/>
      <c r="N110" s="2"/>
      <c r="O110" s="2"/>
      <c r="P110" s="18"/>
    </row>
    <row r="111" spans="1:16" ht="26.4" x14ac:dyDescent="0.3">
      <c r="A111" s="23">
        <v>108</v>
      </c>
      <c r="B111" s="11" t="s">
        <v>446</v>
      </c>
      <c r="C111" s="1" t="s">
        <v>447</v>
      </c>
      <c r="D111" s="1" t="s">
        <v>448</v>
      </c>
      <c r="E111" s="3" t="s">
        <v>449</v>
      </c>
      <c r="F111" s="15">
        <v>0</v>
      </c>
      <c r="G111" s="15">
        <v>2</v>
      </c>
      <c r="H111" s="15">
        <v>4</v>
      </c>
      <c r="I111" s="2"/>
      <c r="J111" s="17" t="str" cm="1">
        <f t="array" ref="J111">_xlfn.SWITCH(TRIM(I111),"New Member",6000,"Existing Member",5500,"Solo (New Member)",2500,"Solo (Existing Member)",2200,"")</f>
        <v/>
      </c>
      <c r="K111" s="5"/>
      <c r="L111" s="19"/>
      <c r="M111" s="17"/>
      <c r="N111" s="2"/>
      <c r="O111" s="2"/>
      <c r="P111" s="18"/>
    </row>
    <row r="112" spans="1:16" x14ac:dyDescent="0.3">
      <c r="A112" s="23">
        <v>109</v>
      </c>
      <c r="B112" s="11" t="s">
        <v>450</v>
      </c>
      <c r="C112" s="1" t="s">
        <v>451</v>
      </c>
      <c r="D112" s="1" t="s">
        <v>452</v>
      </c>
      <c r="E112" s="3" t="s">
        <v>453</v>
      </c>
      <c r="F112" s="15">
        <v>0</v>
      </c>
      <c r="G112" s="15">
        <v>1</v>
      </c>
      <c r="H112" s="15">
        <v>4</v>
      </c>
      <c r="I112" s="2"/>
      <c r="J112" s="17" t="str" cm="1">
        <f t="array" ref="J112">_xlfn.SWITCH(TRIM(I112),"New Member",6000,"Existing Member",5500,"Solo (New Member)",2500,"Solo (Existing Member)",2200,"")</f>
        <v/>
      </c>
      <c r="K112" s="5"/>
      <c r="L112" s="19"/>
      <c r="M112" s="17"/>
      <c r="N112" s="2"/>
      <c r="O112" s="2"/>
      <c r="P112" s="18"/>
    </row>
    <row r="113" spans="1:16" x14ac:dyDescent="0.3">
      <c r="A113" s="23">
        <v>110</v>
      </c>
      <c r="B113" s="11" t="s">
        <v>454</v>
      </c>
      <c r="C113" s="1" t="s">
        <v>455</v>
      </c>
      <c r="D113" s="1" t="s">
        <v>456</v>
      </c>
      <c r="E113" s="3" t="s">
        <v>457</v>
      </c>
      <c r="F113" s="15">
        <v>1</v>
      </c>
      <c r="G113" s="15">
        <v>0</v>
      </c>
      <c r="H113" s="15">
        <v>4</v>
      </c>
      <c r="I113" s="2"/>
      <c r="J113" s="17" t="str" cm="1">
        <f t="array" ref="J113">_xlfn.SWITCH(TRIM(I113),"New Member",6000,"Existing Member",5500,"Solo (New Member)",2500,"Solo (Existing Member)",2200,"")</f>
        <v/>
      </c>
      <c r="K113" s="5"/>
      <c r="L113" s="19"/>
      <c r="M113" s="17"/>
      <c r="N113" s="2"/>
      <c r="O113" s="2"/>
      <c r="P113" s="18"/>
    </row>
    <row r="114" spans="1:16" x14ac:dyDescent="0.3">
      <c r="A114" s="23">
        <v>111</v>
      </c>
      <c r="B114" s="11" t="s">
        <v>458</v>
      </c>
      <c r="C114" s="1" t="s">
        <v>459</v>
      </c>
      <c r="D114" s="1" t="s">
        <v>460</v>
      </c>
      <c r="E114" s="3" t="s">
        <v>461</v>
      </c>
      <c r="F114" s="15">
        <v>0</v>
      </c>
      <c r="G114" s="15">
        <v>1</v>
      </c>
      <c r="H114" s="15">
        <v>2</v>
      </c>
      <c r="I114" s="2"/>
      <c r="J114" s="17" t="str" cm="1">
        <f t="array" ref="J114">_xlfn.SWITCH(TRIM(I114),"New Member",6000,"Existing Member",5500,"Solo (New Member)",2500,"Solo (Existing Member)",2200,"")</f>
        <v/>
      </c>
      <c r="K114" s="5"/>
      <c r="L114" s="19"/>
      <c r="M114" s="17"/>
      <c r="N114" s="2"/>
      <c r="O114" s="2"/>
      <c r="P114" s="18"/>
    </row>
    <row r="115" spans="1:16" ht="26.4" x14ac:dyDescent="0.3">
      <c r="A115" s="23">
        <v>112</v>
      </c>
      <c r="B115" s="11" t="s">
        <v>462</v>
      </c>
      <c r="C115" s="1" t="s">
        <v>463</v>
      </c>
      <c r="D115" s="1" t="s">
        <v>464</v>
      </c>
      <c r="E115" s="3" t="s">
        <v>465</v>
      </c>
      <c r="F115" s="15">
        <v>0</v>
      </c>
      <c r="G115" s="15">
        <v>1</v>
      </c>
      <c r="H115" s="15">
        <v>2</v>
      </c>
      <c r="I115" s="2"/>
      <c r="J115" s="17" t="str" cm="1">
        <f t="array" ref="J115">_xlfn.SWITCH(TRIM(I115),"New Member",6000,"Existing Member",5500,"Solo (New Member)",2500,"Solo (Existing Member)",2200,"")</f>
        <v/>
      </c>
      <c r="K115" s="5"/>
      <c r="L115" s="19"/>
      <c r="M115" s="17"/>
      <c r="N115" s="2"/>
      <c r="O115" s="2"/>
      <c r="P115" s="18"/>
    </row>
    <row r="116" spans="1:16" x14ac:dyDescent="0.3">
      <c r="A116" s="23">
        <v>113</v>
      </c>
      <c r="B116" s="11" t="s">
        <v>466</v>
      </c>
      <c r="C116" s="1" t="s">
        <v>467</v>
      </c>
      <c r="D116" s="1" t="s">
        <v>468</v>
      </c>
      <c r="E116" s="3" t="s">
        <v>172</v>
      </c>
      <c r="F116" s="15">
        <v>0</v>
      </c>
      <c r="G116" s="15">
        <v>2</v>
      </c>
      <c r="H116" s="15">
        <v>2</v>
      </c>
      <c r="I116" s="2"/>
      <c r="J116" s="17" t="str" cm="1">
        <f t="array" ref="J116">_xlfn.SWITCH(TRIM(I116),"New Member",6000,"Existing Member",5500,"Solo (New Member)",2500,"Solo (Existing Member)",2200,"")</f>
        <v/>
      </c>
      <c r="K116" s="5"/>
      <c r="L116" s="19"/>
      <c r="M116" s="17"/>
      <c r="N116" s="2"/>
      <c r="O116" s="2"/>
      <c r="P116" s="18"/>
    </row>
    <row r="117" spans="1:16" x14ac:dyDescent="0.3">
      <c r="A117" s="23">
        <v>114</v>
      </c>
      <c r="B117" s="11" t="s">
        <v>469</v>
      </c>
      <c r="C117" s="1" t="s">
        <v>470</v>
      </c>
      <c r="D117" s="1" t="s">
        <v>471</v>
      </c>
      <c r="E117" s="3" t="s">
        <v>472</v>
      </c>
      <c r="F117" s="15">
        <v>0</v>
      </c>
      <c r="G117" s="15">
        <v>1</v>
      </c>
      <c r="H117" s="15">
        <v>4</v>
      </c>
      <c r="I117" s="2"/>
      <c r="J117" s="17" t="str" cm="1">
        <f t="array" ref="J117">_xlfn.SWITCH(TRIM(I117),"New Member",6000,"Existing Member",5500,"Solo (New Member)",2500,"Solo (Existing Member)",2200,"")</f>
        <v/>
      </c>
      <c r="K117" s="5"/>
      <c r="L117" s="19"/>
      <c r="M117" s="17"/>
      <c r="N117" s="2"/>
      <c r="O117" s="2"/>
      <c r="P117" s="18"/>
    </row>
    <row r="118" spans="1:16" ht="39.6" x14ac:dyDescent="0.3">
      <c r="A118" s="23">
        <v>115</v>
      </c>
      <c r="B118" s="11" t="s">
        <v>473</v>
      </c>
      <c r="C118" s="1" t="s">
        <v>474</v>
      </c>
      <c r="D118" s="1" t="s">
        <v>475</v>
      </c>
      <c r="E118" s="3" t="s">
        <v>476</v>
      </c>
      <c r="F118" s="15">
        <v>0</v>
      </c>
      <c r="G118" s="15">
        <v>0</v>
      </c>
      <c r="H118" s="15">
        <v>2</v>
      </c>
      <c r="I118" s="2"/>
      <c r="J118" s="17" t="str" cm="1">
        <f t="array" ref="J118">_xlfn.SWITCH(TRIM(I118),"New Member",6000,"Existing Member",5500,"Solo (New Member)",2500,"Solo (Existing Member)",2200,"")</f>
        <v/>
      </c>
      <c r="K118" s="5"/>
      <c r="L118" s="19"/>
      <c r="M118" s="17"/>
      <c r="N118" s="2"/>
      <c r="O118" s="2"/>
      <c r="P118" s="18"/>
    </row>
    <row r="119" spans="1:16" ht="26.4" x14ac:dyDescent="0.3">
      <c r="A119" s="23">
        <v>116</v>
      </c>
      <c r="B119" s="11" t="s">
        <v>477</v>
      </c>
      <c r="C119" s="1" t="s">
        <v>478</v>
      </c>
      <c r="D119" s="1" t="s">
        <v>479</v>
      </c>
      <c r="E119" s="3" t="s">
        <v>480</v>
      </c>
      <c r="F119" s="15">
        <v>1</v>
      </c>
      <c r="G119" s="15">
        <v>0</v>
      </c>
      <c r="H119" s="15">
        <v>4</v>
      </c>
      <c r="I119" s="2"/>
      <c r="J119" s="17" t="str" cm="1">
        <f t="array" ref="J119">_xlfn.SWITCH(TRIM(I119),"New Member",6000,"Existing Member",5500,"Solo (New Member)",2500,"Solo (Existing Member)",2200,"")</f>
        <v/>
      </c>
      <c r="K119" s="5"/>
      <c r="L119" s="19"/>
      <c r="M119" s="17"/>
      <c r="N119" s="2"/>
      <c r="O119" s="2"/>
      <c r="P119" s="18"/>
    </row>
    <row r="120" spans="1:16" x14ac:dyDescent="0.3">
      <c r="A120" s="23">
        <v>117</v>
      </c>
      <c r="B120" s="11" t="s">
        <v>481</v>
      </c>
      <c r="C120" s="1" t="s">
        <v>482</v>
      </c>
      <c r="D120" s="1" t="s">
        <v>483</v>
      </c>
      <c r="E120" s="3" t="s">
        <v>484</v>
      </c>
      <c r="F120" s="15">
        <v>0</v>
      </c>
      <c r="G120" s="15">
        <v>0</v>
      </c>
      <c r="H120" s="15">
        <v>4</v>
      </c>
      <c r="I120" s="2"/>
      <c r="J120" s="17" t="str" cm="1">
        <f t="array" ref="J120">_xlfn.SWITCH(TRIM(I120),"New Member",6000,"Existing Member",5500,"Solo (New Member)",2500,"Solo (Existing Member)",2200,"")</f>
        <v/>
      </c>
      <c r="K120" s="5"/>
      <c r="L120" s="19"/>
      <c r="M120" s="17"/>
      <c r="N120" s="2"/>
      <c r="O120" s="2"/>
      <c r="P120" s="18"/>
    </row>
    <row r="121" spans="1:16" x14ac:dyDescent="0.3">
      <c r="A121" s="23">
        <v>118</v>
      </c>
      <c r="B121" s="11" t="s">
        <v>485</v>
      </c>
      <c r="C121" s="1" t="s">
        <v>486</v>
      </c>
      <c r="D121" s="1" t="s">
        <v>487</v>
      </c>
      <c r="E121" s="3" t="s">
        <v>488</v>
      </c>
      <c r="F121" s="15">
        <v>0</v>
      </c>
      <c r="G121" s="15">
        <v>0</v>
      </c>
      <c r="H121" s="15">
        <v>4</v>
      </c>
      <c r="I121" s="2"/>
      <c r="J121" s="17" t="str" cm="1">
        <f t="array" ref="J121">_xlfn.SWITCH(TRIM(I121),"New Member",6000,"Existing Member",5500,"Solo (New Member)",2500,"Solo (Existing Member)",2200,"")</f>
        <v/>
      </c>
      <c r="K121" s="5"/>
      <c r="L121" s="19"/>
      <c r="M121" s="17"/>
      <c r="N121" s="2"/>
      <c r="O121" s="2"/>
      <c r="P121" s="18"/>
    </row>
    <row r="122" spans="1:16" x14ac:dyDescent="0.3">
      <c r="A122" s="23">
        <v>119</v>
      </c>
      <c r="B122" s="11" t="s">
        <v>489</v>
      </c>
      <c r="C122" s="1" t="s">
        <v>490</v>
      </c>
      <c r="D122" s="1" t="s">
        <v>491</v>
      </c>
      <c r="E122" s="3" t="s">
        <v>492</v>
      </c>
      <c r="F122" s="15">
        <v>0</v>
      </c>
      <c r="G122" s="15">
        <v>1</v>
      </c>
      <c r="H122" s="15">
        <v>4</v>
      </c>
      <c r="I122" s="2"/>
      <c r="J122" s="17" t="str" cm="1">
        <f t="array" ref="J122">_xlfn.SWITCH(TRIM(I122),"New Member",6000,"Existing Member",5500,"Solo (New Member)",2500,"Solo (Existing Member)",2200,"")</f>
        <v/>
      </c>
      <c r="K122" s="5"/>
      <c r="L122" s="19"/>
      <c r="M122" s="17"/>
      <c r="N122" s="2"/>
      <c r="O122" s="2"/>
      <c r="P122" s="18"/>
    </row>
    <row r="123" spans="1:16" ht="39.6" x14ac:dyDescent="0.3">
      <c r="A123" s="23">
        <v>120</v>
      </c>
      <c r="B123" s="11" t="s">
        <v>493</v>
      </c>
      <c r="C123" s="1" t="s">
        <v>494</v>
      </c>
      <c r="D123" s="1" t="s">
        <v>495</v>
      </c>
      <c r="E123" s="3" t="s">
        <v>496</v>
      </c>
      <c r="F123" s="15">
        <v>0</v>
      </c>
      <c r="G123" s="15">
        <v>0</v>
      </c>
      <c r="H123" s="15">
        <v>4</v>
      </c>
      <c r="I123" s="2"/>
      <c r="J123" s="17" t="str" cm="1">
        <f t="array" ref="J123">_xlfn.SWITCH(TRIM(I123),"New Member",6000,"Existing Member",5500,"Solo (New Member)",2500,"Solo (Existing Member)",2200,"")</f>
        <v/>
      </c>
      <c r="K123" s="5"/>
      <c r="L123" s="19"/>
      <c r="M123" s="17"/>
      <c r="N123" s="2"/>
      <c r="O123" s="2"/>
      <c r="P123" s="18"/>
    </row>
    <row r="124" spans="1:16" x14ac:dyDescent="0.3">
      <c r="A124" s="23">
        <v>121</v>
      </c>
      <c r="B124" s="11" t="s">
        <v>497</v>
      </c>
      <c r="C124" s="1" t="s">
        <v>498</v>
      </c>
      <c r="D124" s="1" t="s">
        <v>499</v>
      </c>
      <c r="E124" s="3" t="s">
        <v>500</v>
      </c>
      <c r="F124" s="15">
        <v>1</v>
      </c>
      <c r="G124" s="15">
        <v>1</v>
      </c>
      <c r="H124" s="15">
        <v>4</v>
      </c>
      <c r="I124" s="2"/>
      <c r="J124" s="17" t="str" cm="1">
        <f t="array" ref="J124">_xlfn.SWITCH(TRIM(I124),"New Member",6000,"Existing Member",5500,"Solo (New Member)",2500,"Solo (Existing Member)",2200,"")</f>
        <v/>
      </c>
      <c r="K124" s="5"/>
      <c r="L124" s="19"/>
      <c r="M124" s="17"/>
      <c r="N124" s="2"/>
      <c r="O124" s="2"/>
      <c r="P124" s="18"/>
    </row>
    <row r="125" spans="1:16" ht="26.4" x14ac:dyDescent="0.3">
      <c r="A125" s="23">
        <v>122</v>
      </c>
      <c r="B125" s="11" t="s">
        <v>501</v>
      </c>
      <c r="C125" s="1" t="s">
        <v>502</v>
      </c>
      <c r="D125" s="1" t="s">
        <v>503</v>
      </c>
      <c r="E125" s="3" t="s">
        <v>504</v>
      </c>
      <c r="F125" s="15">
        <v>0</v>
      </c>
      <c r="G125" s="15">
        <v>1</v>
      </c>
      <c r="H125" s="15">
        <v>3</v>
      </c>
      <c r="I125" s="2"/>
      <c r="J125" s="17" t="str" cm="1">
        <f t="array" ref="J125">_xlfn.SWITCH(TRIM(I125),"New Member",6000,"Existing Member",5500,"Solo (New Member)",2500,"Solo (Existing Member)",2200,"")</f>
        <v/>
      </c>
      <c r="K125" s="5"/>
      <c r="L125" s="19"/>
      <c r="M125" s="17"/>
      <c r="N125" s="2"/>
      <c r="O125" s="2"/>
      <c r="P125" s="18"/>
    </row>
    <row r="126" spans="1:16" x14ac:dyDescent="0.3">
      <c r="A126" s="23">
        <v>123</v>
      </c>
      <c r="B126" s="11" t="s">
        <v>505</v>
      </c>
      <c r="C126" s="1" t="s">
        <v>506</v>
      </c>
      <c r="D126" s="1" t="s">
        <v>507</v>
      </c>
      <c r="E126" s="3" t="s">
        <v>508</v>
      </c>
      <c r="F126" s="15">
        <v>0</v>
      </c>
      <c r="G126" s="15">
        <v>0</v>
      </c>
      <c r="H126" s="15">
        <v>1</v>
      </c>
      <c r="I126" s="2"/>
      <c r="J126" s="17" t="str" cm="1">
        <f t="array" ref="J126">_xlfn.SWITCH(TRIM(I126),"New Member",6000,"Existing Member",5500,"Solo (New Member)",2500,"Solo (Existing Member)",2200,"")</f>
        <v/>
      </c>
      <c r="K126" s="5"/>
      <c r="L126" s="19"/>
      <c r="M126" s="17"/>
      <c r="N126" s="2"/>
      <c r="O126" s="2"/>
      <c r="P126" s="18"/>
    </row>
    <row r="127" spans="1:16" ht="26.4" x14ac:dyDescent="0.3">
      <c r="A127" s="23">
        <v>124</v>
      </c>
      <c r="B127" s="11" t="s">
        <v>509</v>
      </c>
      <c r="C127" s="1" t="s">
        <v>510</v>
      </c>
      <c r="D127" s="1" t="s">
        <v>511</v>
      </c>
      <c r="E127" s="3" t="s">
        <v>512</v>
      </c>
      <c r="F127" s="15">
        <v>0</v>
      </c>
      <c r="G127" s="15">
        <v>1</v>
      </c>
      <c r="H127" s="15">
        <v>2</v>
      </c>
      <c r="I127" s="2"/>
      <c r="J127" s="17" t="str" cm="1">
        <f t="array" ref="J127">_xlfn.SWITCH(TRIM(I127),"New Member",6000,"Existing Member",5500,"Solo (New Member)",2500,"Solo (Existing Member)",2200,"")</f>
        <v/>
      </c>
      <c r="K127" s="5"/>
      <c r="L127" s="19"/>
      <c r="M127" s="17"/>
      <c r="N127" s="2"/>
      <c r="O127" s="2"/>
      <c r="P127" s="18"/>
    </row>
    <row r="128" spans="1:16" ht="39.6" x14ac:dyDescent="0.3">
      <c r="A128" s="23">
        <v>125</v>
      </c>
      <c r="B128" s="11" t="s">
        <v>513</v>
      </c>
      <c r="C128" s="1" t="s">
        <v>514</v>
      </c>
      <c r="D128" s="1" t="s">
        <v>515</v>
      </c>
      <c r="E128" s="3" t="s">
        <v>516</v>
      </c>
      <c r="F128" s="15">
        <v>1</v>
      </c>
      <c r="G128" s="15">
        <v>0</v>
      </c>
      <c r="H128" s="15">
        <v>4</v>
      </c>
      <c r="I128" s="2"/>
      <c r="J128" s="17" t="str" cm="1">
        <f t="array" ref="J128">_xlfn.SWITCH(TRIM(I128),"New Member",6000,"Existing Member",5500,"Solo (New Member)",2500,"Solo (Existing Member)",2200,"")</f>
        <v/>
      </c>
      <c r="K128" s="5"/>
      <c r="L128" s="19"/>
      <c r="M128" s="17"/>
      <c r="N128" s="2"/>
      <c r="O128" s="2"/>
      <c r="P128" s="18"/>
    </row>
    <row r="129" spans="1:16" x14ac:dyDescent="0.3">
      <c r="A129" s="23">
        <v>126</v>
      </c>
      <c r="B129" s="11" t="s">
        <v>517</v>
      </c>
      <c r="C129" s="1" t="s">
        <v>518</v>
      </c>
      <c r="D129" s="1" t="s">
        <v>519</v>
      </c>
      <c r="E129" s="3" t="s">
        <v>520</v>
      </c>
      <c r="F129" s="15">
        <v>1</v>
      </c>
      <c r="G129" s="15">
        <v>0</v>
      </c>
      <c r="H129" s="15">
        <v>4</v>
      </c>
      <c r="I129" s="2"/>
      <c r="J129" s="17" t="str" cm="1">
        <f t="array" ref="J129">_xlfn.SWITCH(TRIM(I129),"New Member",6000,"Existing Member",5500,"Solo (New Member)",2500,"Solo (Existing Member)",2200,"")</f>
        <v/>
      </c>
      <c r="K129" s="5"/>
      <c r="L129" s="19"/>
      <c r="M129" s="17"/>
      <c r="N129" s="2"/>
      <c r="O129" s="2"/>
      <c r="P129" s="18"/>
    </row>
    <row r="130" spans="1:16" ht="26.4" x14ac:dyDescent="0.3">
      <c r="A130" s="23">
        <v>127</v>
      </c>
      <c r="B130" s="11" t="s">
        <v>521</v>
      </c>
      <c r="C130" s="1" t="s">
        <v>522</v>
      </c>
      <c r="D130" s="1" t="s">
        <v>523</v>
      </c>
      <c r="E130" s="3" t="s">
        <v>524</v>
      </c>
      <c r="F130" s="15">
        <v>0</v>
      </c>
      <c r="G130" s="15">
        <v>1</v>
      </c>
      <c r="H130" s="15">
        <v>4</v>
      </c>
      <c r="I130" s="2"/>
      <c r="J130" s="17" t="str" cm="1">
        <f t="array" ref="J130">_xlfn.SWITCH(TRIM(I130),"New Member",6000,"Existing Member",5500,"Solo (New Member)",2500,"Solo (Existing Member)",2200,"")</f>
        <v/>
      </c>
      <c r="K130" s="5"/>
      <c r="L130" s="19"/>
      <c r="M130" s="17"/>
      <c r="N130" s="2"/>
      <c r="O130" s="2"/>
      <c r="P130" s="18"/>
    </row>
    <row r="131" spans="1:16" ht="39.6" x14ac:dyDescent="0.3">
      <c r="A131" s="23">
        <v>128</v>
      </c>
      <c r="B131" s="11" t="s">
        <v>525</v>
      </c>
      <c r="C131" s="1" t="s">
        <v>526</v>
      </c>
      <c r="D131" s="1" t="s">
        <v>527</v>
      </c>
      <c r="E131" s="3" t="s">
        <v>528</v>
      </c>
      <c r="F131" s="15">
        <v>1</v>
      </c>
      <c r="G131" s="15">
        <v>0</v>
      </c>
      <c r="H131" s="15">
        <v>4</v>
      </c>
      <c r="I131" s="2"/>
      <c r="J131" s="17" t="str" cm="1">
        <f t="array" ref="J131">_xlfn.SWITCH(TRIM(I131),"New Member",6000,"Existing Member",5500,"Solo (New Member)",2500,"Solo (Existing Member)",2200,"")</f>
        <v/>
      </c>
      <c r="K131" s="5"/>
      <c r="L131" s="19"/>
      <c r="M131" s="17"/>
      <c r="N131" s="2"/>
      <c r="O131" s="2"/>
      <c r="P131" s="18"/>
    </row>
    <row r="132" spans="1:16" x14ac:dyDescent="0.3">
      <c r="A132" s="23">
        <v>129</v>
      </c>
      <c r="B132" s="11" t="s">
        <v>529</v>
      </c>
      <c r="C132" s="1" t="s">
        <v>530</v>
      </c>
      <c r="D132" s="1" t="s">
        <v>531</v>
      </c>
      <c r="E132" s="3" t="s">
        <v>532</v>
      </c>
      <c r="F132" s="15">
        <v>0</v>
      </c>
      <c r="G132" s="15">
        <v>0</v>
      </c>
      <c r="H132" s="15">
        <v>1</v>
      </c>
      <c r="I132" s="2"/>
      <c r="J132" s="17" t="str" cm="1">
        <f t="array" ref="J132">_xlfn.SWITCH(TRIM(I132),"New Member",6000,"Existing Member",5500,"Solo (New Member)",2500,"Solo (Existing Member)",2200,"")</f>
        <v/>
      </c>
      <c r="K132" s="5"/>
      <c r="L132" s="19"/>
      <c r="M132" s="17"/>
      <c r="N132" s="2"/>
      <c r="O132" s="2"/>
      <c r="P132" s="18"/>
    </row>
    <row r="133" spans="1:16" x14ac:dyDescent="0.3">
      <c r="A133" s="23">
        <v>130</v>
      </c>
      <c r="B133" s="11" t="s">
        <v>533</v>
      </c>
      <c r="C133" s="1" t="s">
        <v>534</v>
      </c>
      <c r="D133" s="1" t="s">
        <v>535</v>
      </c>
      <c r="E133" s="3" t="s">
        <v>536</v>
      </c>
      <c r="F133" s="15">
        <v>1</v>
      </c>
      <c r="G133" s="15">
        <v>1</v>
      </c>
      <c r="H133" s="15">
        <v>4</v>
      </c>
      <c r="I133" s="2"/>
      <c r="J133" s="17" t="str" cm="1">
        <f t="array" ref="J133">_xlfn.SWITCH(TRIM(I133),"New Member",6000,"Existing Member",5500,"Solo (New Member)",2500,"Solo (Existing Member)",2200,"")</f>
        <v/>
      </c>
      <c r="K133" s="5"/>
      <c r="L133" s="19"/>
      <c r="M133" s="17"/>
      <c r="N133" s="2"/>
      <c r="O133" s="2"/>
      <c r="P133" s="18"/>
    </row>
    <row r="134" spans="1:16" ht="26.4" x14ac:dyDescent="0.3">
      <c r="A134" s="23">
        <v>131</v>
      </c>
      <c r="B134" s="11" t="s">
        <v>537</v>
      </c>
      <c r="C134" s="1" t="s">
        <v>538</v>
      </c>
      <c r="D134" s="1" t="s">
        <v>539</v>
      </c>
      <c r="E134" s="3" t="s">
        <v>540</v>
      </c>
      <c r="F134" s="15">
        <v>0</v>
      </c>
      <c r="G134" s="15">
        <v>0</v>
      </c>
      <c r="H134" s="15">
        <v>4</v>
      </c>
      <c r="I134" s="2"/>
      <c r="J134" s="17" t="str" cm="1">
        <f t="array" ref="J134">_xlfn.SWITCH(TRIM(I134),"New Member",6000,"Existing Member",5500,"Solo (New Member)",2500,"Solo (Existing Member)",2200,"")</f>
        <v/>
      </c>
      <c r="K134" s="5"/>
      <c r="L134" s="19"/>
      <c r="M134" s="17"/>
      <c r="N134" s="2"/>
      <c r="O134" s="2"/>
      <c r="P134" s="18"/>
    </row>
    <row r="135" spans="1:16" x14ac:dyDescent="0.3">
      <c r="A135" s="23">
        <v>132</v>
      </c>
      <c r="B135" s="11" t="s">
        <v>541</v>
      </c>
      <c r="C135" s="1" t="s">
        <v>542</v>
      </c>
      <c r="D135" s="1" t="s">
        <v>543</v>
      </c>
      <c r="E135" s="3" t="s">
        <v>544</v>
      </c>
      <c r="F135" s="15">
        <v>0</v>
      </c>
      <c r="G135" s="15">
        <v>0</v>
      </c>
      <c r="H135" s="15">
        <v>4</v>
      </c>
      <c r="I135" s="2"/>
      <c r="J135" s="17" t="str" cm="1">
        <f t="array" ref="J135">_xlfn.SWITCH(TRIM(I135),"New Member",6000,"Existing Member",5500,"Solo (New Member)",2500,"Solo (Existing Member)",2200,"")</f>
        <v/>
      </c>
      <c r="K135" s="5"/>
      <c r="L135" s="19"/>
      <c r="M135" s="17"/>
      <c r="N135" s="2"/>
      <c r="O135" s="2"/>
      <c r="P135" s="18"/>
    </row>
    <row r="136" spans="1:16" x14ac:dyDescent="0.3">
      <c r="A136" s="23">
        <v>133</v>
      </c>
      <c r="B136" s="11" t="s">
        <v>545</v>
      </c>
      <c r="C136" s="1" t="s">
        <v>546</v>
      </c>
      <c r="D136" s="1" t="s">
        <v>547</v>
      </c>
      <c r="E136" s="3" t="s">
        <v>548</v>
      </c>
      <c r="F136" s="15">
        <v>0</v>
      </c>
      <c r="G136" s="15">
        <v>0</v>
      </c>
      <c r="H136" s="15">
        <v>4</v>
      </c>
      <c r="I136" s="2"/>
      <c r="J136" s="17" t="str" cm="1">
        <f t="array" ref="J136">_xlfn.SWITCH(TRIM(I136),"New Member",6000,"Existing Member",5500,"Solo (New Member)",2500,"Solo (Existing Member)",2200,"")</f>
        <v/>
      </c>
      <c r="K136" s="5"/>
      <c r="L136" s="19"/>
      <c r="M136" s="17"/>
      <c r="N136" s="2"/>
      <c r="O136" s="2"/>
      <c r="P136" s="18"/>
    </row>
    <row r="137" spans="1:16" x14ac:dyDescent="0.3">
      <c r="A137" s="23">
        <v>134</v>
      </c>
      <c r="B137" s="11" t="s">
        <v>549</v>
      </c>
      <c r="C137" s="1" t="s">
        <v>550</v>
      </c>
      <c r="D137" s="1" t="s">
        <v>551</v>
      </c>
      <c r="E137" s="3" t="s">
        <v>552</v>
      </c>
      <c r="F137" s="15">
        <v>0</v>
      </c>
      <c r="G137" s="15">
        <v>1</v>
      </c>
      <c r="H137" s="15">
        <v>4</v>
      </c>
      <c r="I137" s="2"/>
      <c r="J137" s="17" t="str" cm="1">
        <f t="array" ref="J137">_xlfn.SWITCH(TRIM(I137),"New Member",6000,"Existing Member",5500,"Solo (New Member)",2500,"Solo (Existing Member)",2200,"")</f>
        <v/>
      </c>
      <c r="K137" s="5"/>
      <c r="L137" s="19"/>
      <c r="M137" s="17"/>
      <c r="N137" s="2"/>
      <c r="O137" s="2"/>
      <c r="P137" s="18"/>
    </row>
    <row r="138" spans="1:16" ht="39.6" x14ac:dyDescent="0.3">
      <c r="A138" s="23">
        <v>135</v>
      </c>
      <c r="B138" s="11" t="s">
        <v>553</v>
      </c>
      <c r="C138" s="1" t="s">
        <v>554</v>
      </c>
      <c r="D138" s="1" t="s">
        <v>555</v>
      </c>
      <c r="E138" s="3" t="s">
        <v>556</v>
      </c>
      <c r="F138" s="15">
        <v>0</v>
      </c>
      <c r="G138" s="15">
        <v>0</v>
      </c>
      <c r="H138" s="15">
        <v>2</v>
      </c>
      <c r="I138" s="2"/>
      <c r="J138" s="17" t="str" cm="1">
        <f t="array" ref="J138">_xlfn.SWITCH(TRIM(I138),"New Member",6000,"Existing Member",5500,"Solo (New Member)",2500,"Solo (Existing Member)",2200,"")</f>
        <v/>
      </c>
      <c r="K138" s="5"/>
      <c r="L138" s="19"/>
      <c r="M138" s="17"/>
      <c r="N138" s="2"/>
      <c r="O138" s="2"/>
      <c r="P138" s="18"/>
    </row>
    <row r="139" spans="1:16" ht="26.4" x14ac:dyDescent="0.3">
      <c r="A139" s="23">
        <v>136</v>
      </c>
      <c r="B139" s="11" t="s">
        <v>557</v>
      </c>
      <c r="C139" s="1" t="s">
        <v>558</v>
      </c>
      <c r="D139" s="1" t="s">
        <v>559</v>
      </c>
      <c r="E139" s="3" t="s">
        <v>560</v>
      </c>
      <c r="F139" s="15">
        <v>0</v>
      </c>
      <c r="G139" s="15">
        <v>1</v>
      </c>
      <c r="H139" s="15">
        <v>2</v>
      </c>
      <c r="I139" s="2"/>
      <c r="J139" s="17" t="str" cm="1">
        <f t="array" ref="J139">_xlfn.SWITCH(TRIM(I139),"New Member",6000,"Existing Member",5500,"Solo (New Member)",2500,"Solo (Existing Member)",2200,"")</f>
        <v/>
      </c>
      <c r="K139" s="5"/>
      <c r="L139" s="19"/>
      <c r="M139" s="17"/>
      <c r="N139" s="2"/>
      <c r="O139" s="2"/>
      <c r="P139" s="18"/>
    </row>
    <row r="140" spans="1:16" ht="39.6" x14ac:dyDescent="0.3">
      <c r="A140" s="23">
        <v>137</v>
      </c>
      <c r="B140" s="11" t="s">
        <v>561</v>
      </c>
      <c r="C140" s="1" t="s">
        <v>562</v>
      </c>
      <c r="D140" s="1" t="s">
        <v>563</v>
      </c>
      <c r="E140" s="3" t="s">
        <v>564</v>
      </c>
      <c r="F140" s="15">
        <v>0</v>
      </c>
      <c r="G140" s="15">
        <v>0</v>
      </c>
      <c r="H140" s="15">
        <v>3</v>
      </c>
      <c r="I140" s="2"/>
      <c r="J140" s="17" t="str" cm="1">
        <f t="array" ref="J140">_xlfn.SWITCH(TRIM(I140),"New Member",6000,"Existing Member",5500,"Solo (New Member)",2500,"Solo (Existing Member)",2200,"")</f>
        <v/>
      </c>
      <c r="K140" s="5"/>
      <c r="L140" s="19"/>
      <c r="M140" s="17"/>
      <c r="N140" s="2"/>
      <c r="O140" s="2"/>
      <c r="P140" s="18"/>
    </row>
    <row r="141" spans="1:16" ht="26.4" x14ac:dyDescent="0.3">
      <c r="A141" s="23">
        <v>138</v>
      </c>
      <c r="B141" s="11" t="s">
        <v>565</v>
      </c>
      <c r="C141" s="1" t="s">
        <v>566</v>
      </c>
      <c r="D141" s="1" t="s">
        <v>567</v>
      </c>
      <c r="E141" s="3" t="s">
        <v>568</v>
      </c>
      <c r="F141" s="15">
        <v>1</v>
      </c>
      <c r="G141" s="15">
        <v>1</v>
      </c>
      <c r="H141" s="15">
        <v>4</v>
      </c>
      <c r="I141" s="2"/>
      <c r="J141" s="17" t="str" cm="1">
        <f t="array" ref="J141">_xlfn.SWITCH(TRIM(I141),"New Member",6000,"Existing Member",5500,"Solo (New Member)",2500,"Solo (Existing Member)",2200,"")</f>
        <v/>
      </c>
      <c r="K141" s="5"/>
      <c r="L141" s="19"/>
      <c r="M141" s="17"/>
      <c r="N141" s="2"/>
      <c r="O141" s="2"/>
      <c r="P141" s="18"/>
    </row>
    <row r="142" spans="1:16" x14ac:dyDescent="0.3">
      <c r="A142" s="23">
        <v>139</v>
      </c>
      <c r="B142" s="11" t="s">
        <v>569</v>
      </c>
      <c r="C142" s="1" t="s">
        <v>570</v>
      </c>
      <c r="D142" s="1" t="s">
        <v>571</v>
      </c>
      <c r="E142" s="3" t="s">
        <v>572</v>
      </c>
      <c r="F142" s="15">
        <v>1</v>
      </c>
      <c r="G142" s="15">
        <v>1</v>
      </c>
      <c r="H142" s="15">
        <v>4</v>
      </c>
      <c r="I142" s="2"/>
      <c r="J142" s="17" t="str" cm="1">
        <f t="array" ref="J142">_xlfn.SWITCH(TRIM(I142),"New Member",6000,"Existing Member",5500,"Solo (New Member)",2500,"Solo (Existing Member)",2200,"")</f>
        <v/>
      </c>
      <c r="K142" s="5"/>
      <c r="L142" s="19"/>
      <c r="M142" s="17"/>
      <c r="N142" s="2"/>
      <c r="O142" s="2"/>
      <c r="P142" s="18"/>
    </row>
    <row r="143" spans="1:16" x14ac:dyDescent="0.3">
      <c r="A143" s="23">
        <v>140</v>
      </c>
      <c r="B143" s="11" t="s">
        <v>573</v>
      </c>
      <c r="C143" s="1" t="s">
        <v>574</v>
      </c>
      <c r="D143" s="1" t="s">
        <v>575</v>
      </c>
      <c r="E143" s="3" t="s">
        <v>576</v>
      </c>
      <c r="F143" s="15">
        <v>0</v>
      </c>
      <c r="G143" s="15">
        <v>0</v>
      </c>
      <c r="H143" s="15">
        <v>2</v>
      </c>
      <c r="I143" s="2"/>
      <c r="J143" s="17" t="str" cm="1">
        <f t="array" ref="J143">_xlfn.SWITCH(TRIM(I143),"New Member",6000,"Existing Member",5500,"Solo (New Member)",2500,"Solo (Existing Member)",2200,"")</f>
        <v/>
      </c>
      <c r="K143" s="5"/>
      <c r="L143" s="19"/>
      <c r="M143" s="17"/>
      <c r="N143" s="2"/>
      <c r="O143" s="2"/>
      <c r="P143" s="18"/>
    </row>
    <row r="144" spans="1:16" ht="52.8" x14ac:dyDescent="0.3">
      <c r="A144" s="23">
        <v>141</v>
      </c>
      <c r="B144" s="11" t="s">
        <v>577</v>
      </c>
      <c r="C144" s="1" t="s">
        <v>578</v>
      </c>
      <c r="D144" s="1" t="s">
        <v>579</v>
      </c>
      <c r="E144" s="3" t="s">
        <v>580</v>
      </c>
      <c r="F144" s="15">
        <v>1</v>
      </c>
      <c r="G144" s="15">
        <v>0</v>
      </c>
      <c r="H144" s="15">
        <v>4</v>
      </c>
      <c r="I144" s="2"/>
      <c r="J144" s="17" t="str" cm="1">
        <f t="array" ref="J144">_xlfn.SWITCH(TRIM(I144),"New Member",6000,"Existing Member",5500,"Solo (New Member)",2500,"Solo (Existing Member)",2200,"")</f>
        <v/>
      </c>
      <c r="K144" s="5"/>
      <c r="L144" s="19"/>
      <c r="M144" s="17"/>
      <c r="N144" s="2"/>
      <c r="O144" s="2"/>
      <c r="P144" s="18"/>
    </row>
    <row r="145" spans="1:16" x14ac:dyDescent="0.3">
      <c r="A145" s="23">
        <v>142</v>
      </c>
      <c r="B145" s="11" t="s">
        <v>581</v>
      </c>
      <c r="C145" s="1" t="s">
        <v>582</v>
      </c>
      <c r="D145" s="1" t="s">
        <v>583</v>
      </c>
      <c r="E145" s="3" t="s">
        <v>584</v>
      </c>
      <c r="F145" s="15">
        <v>0</v>
      </c>
      <c r="G145" s="15">
        <v>1</v>
      </c>
      <c r="H145" s="15">
        <v>4</v>
      </c>
      <c r="I145" s="2"/>
      <c r="J145" s="17" t="str" cm="1">
        <f t="array" ref="J145">_xlfn.SWITCH(TRIM(I145),"New Member",6000,"Existing Member",5500,"Solo (New Member)",2500,"Solo (Existing Member)",2200,"")</f>
        <v/>
      </c>
      <c r="K145" s="5"/>
      <c r="L145" s="19"/>
      <c r="M145" s="17"/>
      <c r="N145" s="2"/>
      <c r="O145" s="2"/>
      <c r="P145" s="18"/>
    </row>
    <row r="146" spans="1:16" x14ac:dyDescent="0.3">
      <c r="A146" s="23">
        <v>143</v>
      </c>
      <c r="B146" s="11" t="s">
        <v>585</v>
      </c>
      <c r="C146" s="1" t="s">
        <v>586</v>
      </c>
      <c r="D146" s="1" t="s">
        <v>587</v>
      </c>
      <c r="E146" s="3" t="s">
        <v>588</v>
      </c>
      <c r="F146" s="15">
        <v>1</v>
      </c>
      <c r="G146" s="15">
        <v>0</v>
      </c>
      <c r="H146" s="15">
        <v>4</v>
      </c>
      <c r="I146" s="2"/>
      <c r="J146" s="17" t="str" cm="1">
        <f t="array" ref="J146">_xlfn.SWITCH(TRIM(I146),"New Member",6000,"Existing Member",5500,"Solo (New Member)",2500,"Solo (Existing Member)",2200,"")</f>
        <v/>
      </c>
      <c r="K146" s="5"/>
      <c r="L146" s="19"/>
      <c r="M146" s="17"/>
      <c r="N146" s="2"/>
      <c r="O146" s="2"/>
      <c r="P146" s="18"/>
    </row>
    <row r="147" spans="1:16" x14ac:dyDescent="0.3">
      <c r="A147" s="23">
        <v>144</v>
      </c>
      <c r="B147" s="11" t="s">
        <v>589</v>
      </c>
      <c r="C147" s="1" t="s">
        <v>590</v>
      </c>
      <c r="D147" s="1" t="s">
        <v>592</v>
      </c>
      <c r="E147" s="3" t="s">
        <v>591</v>
      </c>
      <c r="F147" s="15">
        <v>0</v>
      </c>
      <c r="G147" s="15">
        <v>1</v>
      </c>
      <c r="H147" s="15">
        <v>4</v>
      </c>
      <c r="I147" s="2"/>
      <c r="J147" s="17" t="str" cm="1">
        <f t="array" ref="J147">_xlfn.SWITCH(TRIM(I147),"New Member",6000,"Existing Member",5500,"Solo (New Member)",2500,"Solo (Existing Member)",2200,"")</f>
        <v/>
      </c>
      <c r="K147" s="5"/>
      <c r="L147" s="19"/>
      <c r="M147" s="17"/>
      <c r="N147" s="2"/>
      <c r="O147" s="2"/>
      <c r="P147" s="18"/>
    </row>
    <row r="148" spans="1:16" x14ac:dyDescent="0.3">
      <c r="A148" s="23">
        <v>145</v>
      </c>
      <c r="B148" s="11" t="s">
        <v>593</v>
      </c>
      <c r="C148" s="1" t="s">
        <v>594</v>
      </c>
      <c r="D148" s="1" t="s">
        <v>595</v>
      </c>
      <c r="E148" s="3" t="s">
        <v>596</v>
      </c>
      <c r="F148" s="15">
        <v>0</v>
      </c>
      <c r="G148" s="15">
        <v>2</v>
      </c>
      <c r="H148" s="15">
        <v>3</v>
      </c>
      <c r="I148" s="2"/>
      <c r="J148" s="17" t="str" cm="1">
        <f t="array" ref="J148">_xlfn.SWITCH(TRIM(I148),"New Member",6000,"Existing Member",5500,"Solo (New Member)",2500,"Solo (Existing Member)",2200,"")</f>
        <v/>
      </c>
      <c r="K148" s="5"/>
      <c r="L148" s="19"/>
      <c r="M148" s="17"/>
      <c r="N148" s="2"/>
      <c r="O148" s="2"/>
      <c r="P148" s="18"/>
    </row>
    <row r="149" spans="1:16" x14ac:dyDescent="0.3">
      <c r="A149" s="23">
        <v>146</v>
      </c>
      <c r="B149" s="11" t="s">
        <v>597</v>
      </c>
      <c r="C149" s="1" t="s">
        <v>598</v>
      </c>
      <c r="D149" s="1" t="s">
        <v>599</v>
      </c>
      <c r="E149" s="3" t="s">
        <v>600</v>
      </c>
      <c r="F149" s="15">
        <v>0</v>
      </c>
      <c r="G149" s="15">
        <v>1</v>
      </c>
      <c r="H149" s="15">
        <v>3</v>
      </c>
      <c r="I149" s="2"/>
      <c r="J149" s="17" t="str" cm="1">
        <f t="array" ref="J149">_xlfn.SWITCH(TRIM(I149),"New Member",6000,"Existing Member",5500,"Solo (New Member)",2500,"Solo (Existing Member)",2200,"")</f>
        <v/>
      </c>
      <c r="K149" s="5"/>
      <c r="L149" s="19"/>
      <c r="M149" s="17"/>
      <c r="N149" s="2"/>
      <c r="O149" s="2"/>
      <c r="P149" s="18"/>
    </row>
    <row r="150" spans="1:16" x14ac:dyDescent="0.3">
      <c r="A150" s="23">
        <v>147</v>
      </c>
      <c r="B150" s="11" t="s">
        <v>601</v>
      </c>
      <c r="C150" s="1" t="s">
        <v>602</v>
      </c>
      <c r="D150" s="1" t="s">
        <v>603</v>
      </c>
      <c r="E150" s="3" t="s">
        <v>604</v>
      </c>
      <c r="F150" s="15">
        <v>0</v>
      </c>
      <c r="G150" s="15">
        <v>0</v>
      </c>
      <c r="H150" s="15">
        <v>3</v>
      </c>
      <c r="I150" s="2"/>
      <c r="J150" s="17" t="str" cm="1">
        <f t="array" ref="J150">_xlfn.SWITCH(TRIM(I150),"New Member",6000,"Existing Member",5500,"Solo (New Member)",2500,"Solo (Existing Member)",2200,"")</f>
        <v/>
      </c>
      <c r="K150" s="5"/>
      <c r="L150" s="19"/>
      <c r="M150" s="17"/>
      <c r="N150" s="2"/>
      <c r="O150" s="2"/>
      <c r="P150" s="18"/>
    </row>
    <row r="151" spans="1:16" x14ac:dyDescent="0.3">
      <c r="A151" s="23">
        <v>148</v>
      </c>
      <c r="B151" s="11" t="s">
        <v>605</v>
      </c>
      <c r="C151" s="1" t="s">
        <v>606</v>
      </c>
      <c r="D151" s="1" t="s">
        <v>607</v>
      </c>
      <c r="E151" s="3" t="s">
        <v>608</v>
      </c>
      <c r="F151" s="15">
        <v>0</v>
      </c>
      <c r="G151" s="15">
        <v>0</v>
      </c>
      <c r="H151" s="15">
        <v>4</v>
      </c>
      <c r="I151" s="2"/>
      <c r="J151" s="17" t="str" cm="1">
        <f t="array" ref="J151">_xlfn.SWITCH(TRIM(I151),"New Member",6000,"Existing Member",5500,"Solo (New Member)",2500,"Solo (Existing Member)",2200,"")</f>
        <v/>
      </c>
      <c r="K151" s="5"/>
      <c r="L151" s="19"/>
      <c r="M151" s="17"/>
      <c r="N151" s="2"/>
      <c r="O151" s="2"/>
      <c r="P151" s="18"/>
    </row>
    <row r="152" spans="1:16" x14ac:dyDescent="0.3">
      <c r="A152" s="23">
        <v>149</v>
      </c>
      <c r="B152" s="11" t="s">
        <v>609</v>
      </c>
      <c r="C152" s="1" t="s">
        <v>610</v>
      </c>
      <c r="D152" s="1" t="s">
        <v>611</v>
      </c>
      <c r="E152" s="3" t="s">
        <v>612</v>
      </c>
      <c r="F152" s="15">
        <v>0</v>
      </c>
      <c r="G152" s="15">
        <v>1</v>
      </c>
      <c r="H152" s="15">
        <v>3</v>
      </c>
      <c r="I152" s="2"/>
      <c r="J152" s="17" t="str" cm="1">
        <f t="array" ref="J152">_xlfn.SWITCH(TRIM(I152),"New Member",6000,"Existing Member",5500,"Solo (New Member)",2500,"Solo (Existing Member)",2200,"")</f>
        <v/>
      </c>
      <c r="K152" s="5"/>
      <c r="L152" s="19"/>
      <c r="M152" s="17"/>
      <c r="N152" s="2"/>
      <c r="O152" s="2"/>
      <c r="P152" s="18"/>
    </row>
    <row r="153" spans="1:16" ht="26.4" x14ac:dyDescent="0.3">
      <c r="A153" s="23">
        <v>150</v>
      </c>
      <c r="B153" s="11" t="s">
        <v>613</v>
      </c>
      <c r="C153" s="1" t="s">
        <v>614</v>
      </c>
      <c r="D153" s="1" t="s">
        <v>615</v>
      </c>
      <c r="E153" s="3" t="s">
        <v>616</v>
      </c>
      <c r="F153" s="15">
        <v>0</v>
      </c>
      <c r="G153" s="15">
        <v>2</v>
      </c>
      <c r="H153" s="15">
        <v>2</v>
      </c>
      <c r="I153" s="2"/>
      <c r="J153" s="17" t="str" cm="1">
        <f t="array" ref="J153">_xlfn.SWITCH(TRIM(I153),"New Member",6000,"Existing Member",5500,"Solo (New Member)",2500,"Solo (Existing Member)",2200,"")</f>
        <v/>
      </c>
      <c r="K153" s="5"/>
      <c r="L153" s="19"/>
      <c r="M153" s="17"/>
      <c r="N153" s="2"/>
      <c r="O153" s="2"/>
      <c r="P153" s="18"/>
    </row>
    <row r="154" spans="1:16" ht="26.4" x14ac:dyDescent="0.3">
      <c r="A154" s="23">
        <v>151</v>
      </c>
      <c r="B154" s="11" t="s">
        <v>617</v>
      </c>
      <c r="C154" s="1" t="s">
        <v>618</v>
      </c>
      <c r="D154" s="1" t="s">
        <v>619</v>
      </c>
      <c r="E154" s="3" t="s">
        <v>620</v>
      </c>
      <c r="F154" s="15">
        <v>1</v>
      </c>
      <c r="G154" s="15">
        <v>0</v>
      </c>
      <c r="H154" s="15">
        <v>4</v>
      </c>
      <c r="I154" s="2"/>
      <c r="J154" s="17" t="str" cm="1">
        <f t="array" ref="J154">_xlfn.SWITCH(TRIM(I154),"New Member",6000,"Existing Member",5500,"Solo (New Member)",2500,"Solo (Existing Member)",2200,"")</f>
        <v/>
      </c>
      <c r="K154" s="5"/>
      <c r="L154" s="19"/>
      <c r="M154" s="17"/>
      <c r="N154" s="2"/>
      <c r="O154" s="2"/>
      <c r="P154" s="18"/>
    </row>
    <row r="155" spans="1:16" x14ac:dyDescent="0.3">
      <c r="A155" s="23">
        <v>152</v>
      </c>
      <c r="B155" s="11" t="s">
        <v>621</v>
      </c>
      <c r="C155" s="1" t="s">
        <v>622</v>
      </c>
      <c r="D155" s="1" t="s">
        <v>623</v>
      </c>
      <c r="E155" s="3" t="s">
        <v>624</v>
      </c>
      <c r="F155" s="15">
        <v>1</v>
      </c>
      <c r="G155" s="15">
        <v>0</v>
      </c>
      <c r="H155" s="15">
        <v>2</v>
      </c>
      <c r="I155" s="2"/>
      <c r="J155" s="17" t="str" cm="1">
        <f t="array" ref="J155">_xlfn.SWITCH(TRIM(I155),"New Member",6000,"Existing Member",5500,"Solo (New Member)",2500,"Solo (Existing Member)",2200,"")</f>
        <v/>
      </c>
      <c r="K155" s="5"/>
      <c r="L155" s="19"/>
      <c r="M155" s="17"/>
      <c r="N155" s="2"/>
      <c r="O155" s="2"/>
      <c r="P155" s="18"/>
    </row>
    <row r="156" spans="1:16" ht="39.6" x14ac:dyDescent="0.3">
      <c r="A156" s="23">
        <v>153</v>
      </c>
      <c r="B156" s="11" t="s">
        <v>625</v>
      </c>
      <c r="C156" s="1" t="s">
        <v>626</v>
      </c>
      <c r="D156" s="1" t="s">
        <v>627</v>
      </c>
      <c r="E156" s="3" t="s">
        <v>628</v>
      </c>
      <c r="F156" s="15">
        <v>1</v>
      </c>
      <c r="G156" s="15">
        <v>0</v>
      </c>
      <c r="H156" s="15">
        <v>4</v>
      </c>
      <c r="I156" s="2"/>
      <c r="J156" s="17" t="str" cm="1">
        <f t="array" ref="J156">_xlfn.SWITCH(TRIM(I156),"New Member",6000,"Existing Member",5500,"Solo (New Member)",2500,"Solo (Existing Member)",2200,"")</f>
        <v/>
      </c>
      <c r="K156" s="5"/>
      <c r="L156" s="19"/>
      <c r="M156" s="17"/>
      <c r="N156" s="2"/>
      <c r="O156" s="2"/>
      <c r="P156" s="18"/>
    </row>
    <row r="157" spans="1:16" x14ac:dyDescent="0.3">
      <c r="A157" s="23">
        <v>154</v>
      </c>
      <c r="B157" s="11" t="s">
        <v>629</v>
      </c>
      <c r="C157" s="1" t="s">
        <v>630</v>
      </c>
      <c r="D157" s="1" t="s">
        <v>631</v>
      </c>
      <c r="E157" s="3" t="s">
        <v>632</v>
      </c>
      <c r="F157" s="15">
        <v>0</v>
      </c>
      <c r="G157" s="15">
        <v>1</v>
      </c>
      <c r="H157" s="15">
        <v>3</v>
      </c>
      <c r="I157" s="2"/>
      <c r="J157" s="17" t="str" cm="1">
        <f t="array" ref="J157">_xlfn.SWITCH(TRIM(I157),"New Member",6000,"Existing Member",5500,"Solo (New Member)",2500,"Solo (Existing Member)",2200,"")</f>
        <v/>
      </c>
      <c r="K157" s="5"/>
      <c r="L157" s="19"/>
      <c r="M157" s="17"/>
      <c r="N157" s="2"/>
      <c r="O157" s="2"/>
      <c r="P157" s="18"/>
    </row>
    <row r="158" spans="1:16" x14ac:dyDescent="0.3">
      <c r="A158" s="23">
        <v>155</v>
      </c>
      <c r="B158" s="11" t="s">
        <v>633</v>
      </c>
      <c r="C158" s="1" t="s">
        <v>634</v>
      </c>
      <c r="D158" s="1" t="s">
        <v>635</v>
      </c>
      <c r="E158" s="3" t="s">
        <v>636</v>
      </c>
      <c r="F158" s="15">
        <v>0</v>
      </c>
      <c r="G158" s="15">
        <v>1</v>
      </c>
      <c r="H158" s="15">
        <v>4</v>
      </c>
      <c r="I158" s="2"/>
      <c r="J158" s="17" t="str" cm="1">
        <f t="array" ref="J158">_xlfn.SWITCH(TRIM(I158),"New Member",6000,"Existing Member",5500,"Solo (New Member)",2500,"Solo (Existing Member)",2200,"")</f>
        <v/>
      </c>
      <c r="K158" s="5"/>
      <c r="L158" s="19"/>
      <c r="M158" s="17"/>
      <c r="N158" s="2"/>
      <c r="O158" s="2"/>
      <c r="P158" s="18"/>
    </row>
    <row r="159" spans="1:16" ht="26.4" x14ac:dyDescent="0.3">
      <c r="A159" s="23">
        <v>156</v>
      </c>
      <c r="B159" s="11" t="s">
        <v>637</v>
      </c>
      <c r="C159" s="1" t="s">
        <v>638</v>
      </c>
      <c r="D159" s="1" t="s">
        <v>639</v>
      </c>
      <c r="E159" s="3" t="s">
        <v>640</v>
      </c>
      <c r="F159" s="15">
        <v>0</v>
      </c>
      <c r="G159" s="15">
        <v>0</v>
      </c>
      <c r="H159" s="15">
        <v>3</v>
      </c>
      <c r="I159" s="2"/>
      <c r="J159" s="17" t="str" cm="1">
        <f t="array" ref="J159">_xlfn.SWITCH(TRIM(I159),"New Member",6000,"Existing Member",5500,"Solo (New Member)",2500,"Solo (Existing Member)",2200,"")</f>
        <v/>
      </c>
      <c r="K159" s="5"/>
      <c r="L159" s="19"/>
      <c r="M159" s="17"/>
      <c r="N159" s="2"/>
      <c r="O159" s="2"/>
      <c r="P159" s="18"/>
    </row>
    <row r="160" spans="1:16" x14ac:dyDescent="0.3">
      <c r="A160" s="23">
        <v>157</v>
      </c>
      <c r="B160" s="11" t="s">
        <v>641</v>
      </c>
      <c r="C160" s="1" t="s">
        <v>642</v>
      </c>
      <c r="D160" s="1" t="s">
        <v>643</v>
      </c>
      <c r="E160" s="3" t="s">
        <v>644</v>
      </c>
      <c r="F160" s="15">
        <v>0</v>
      </c>
      <c r="G160" s="15">
        <v>1</v>
      </c>
      <c r="H160" s="15">
        <v>3</v>
      </c>
      <c r="I160" s="2"/>
      <c r="J160" s="17" t="str" cm="1">
        <f t="array" ref="J160">_xlfn.SWITCH(TRIM(I160),"New Member",6000,"Existing Member",5500,"Solo (New Member)",2500,"Solo (Existing Member)",2200,"")</f>
        <v/>
      </c>
      <c r="K160" s="5"/>
      <c r="L160" s="19"/>
      <c r="M160" s="17"/>
      <c r="N160" s="2"/>
      <c r="O160" s="2"/>
      <c r="P160" s="18"/>
    </row>
    <row r="161" spans="1:16" x14ac:dyDescent="0.3">
      <c r="A161" s="23">
        <v>158</v>
      </c>
      <c r="B161" s="11" t="s">
        <v>645</v>
      </c>
      <c r="C161" s="1" t="s">
        <v>646</v>
      </c>
      <c r="D161" s="1" t="s">
        <v>647</v>
      </c>
      <c r="E161" s="3" t="s">
        <v>648</v>
      </c>
      <c r="F161" s="15">
        <v>0</v>
      </c>
      <c r="G161" s="15">
        <v>1</v>
      </c>
      <c r="H161" s="15">
        <v>4</v>
      </c>
      <c r="I161" s="2"/>
      <c r="J161" s="17" t="str" cm="1">
        <f t="array" ref="J161">_xlfn.SWITCH(TRIM(I161),"New Member",6000,"Existing Member",5500,"Solo (New Member)",2500,"Solo (Existing Member)",2200,"")</f>
        <v/>
      </c>
      <c r="K161" s="5"/>
      <c r="L161" s="19"/>
      <c r="M161" s="17"/>
      <c r="N161" s="2"/>
      <c r="O161" s="2"/>
      <c r="P161" s="18"/>
    </row>
    <row r="162" spans="1:16" x14ac:dyDescent="0.3">
      <c r="A162" s="23">
        <v>159</v>
      </c>
      <c r="B162" s="11" t="s">
        <v>649</v>
      </c>
      <c r="C162" s="1" t="s">
        <v>650</v>
      </c>
      <c r="D162" s="1" t="s">
        <v>651</v>
      </c>
      <c r="E162" s="3" t="s">
        <v>652</v>
      </c>
      <c r="F162" s="15">
        <v>0</v>
      </c>
      <c r="G162" s="15">
        <v>0</v>
      </c>
      <c r="H162" s="15">
        <v>4</v>
      </c>
      <c r="I162" s="2"/>
      <c r="J162" s="17" t="str" cm="1">
        <f t="array" ref="J162">_xlfn.SWITCH(TRIM(I162),"New Member",6000,"Existing Member",5500,"Solo (New Member)",2500,"Solo (Existing Member)",2200,"")</f>
        <v/>
      </c>
      <c r="K162" s="5"/>
      <c r="L162" s="19"/>
      <c r="M162" s="17"/>
      <c r="N162" s="2"/>
      <c r="O162" s="2"/>
      <c r="P162" s="18"/>
    </row>
    <row r="163" spans="1:16" x14ac:dyDescent="0.3">
      <c r="A163" s="23">
        <v>160</v>
      </c>
      <c r="B163" s="11" t="s">
        <v>653</v>
      </c>
      <c r="C163" s="1" t="s">
        <v>654</v>
      </c>
      <c r="D163" s="1" t="s">
        <v>655</v>
      </c>
      <c r="E163" s="3" t="s">
        <v>656</v>
      </c>
      <c r="F163" s="15">
        <v>0</v>
      </c>
      <c r="G163" s="15">
        <v>2</v>
      </c>
      <c r="H163" s="15">
        <v>4</v>
      </c>
      <c r="I163" s="2"/>
      <c r="J163" s="17" t="str" cm="1">
        <f t="array" ref="J163">_xlfn.SWITCH(TRIM(I163),"New Member",6000,"Existing Member",5500,"Solo (New Member)",2500,"Solo (Existing Member)",2200,"")</f>
        <v/>
      </c>
      <c r="K163" s="5"/>
      <c r="L163" s="19"/>
      <c r="M163" s="17"/>
      <c r="N163" s="2"/>
      <c r="O163" s="2"/>
      <c r="P163" s="18"/>
    </row>
    <row r="164" spans="1:16" ht="26.4" x14ac:dyDescent="0.3">
      <c r="A164" s="23">
        <v>161</v>
      </c>
      <c r="B164" s="11" t="s">
        <v>657</v>
      </c>
      <c r="C164" s="1" t="s">
        <v>658</v>
      </c>
      <c r="D164" s="1" t="s">
        <v>659</v>
      </c>
      <c r="E164" s="3" t="s">
        <v>660</v>
      </c>
      <c r="F164" s="15">
        <v>0</v>
      </c>
      <c r="G164" s="15">
        <v>1</v>
      </c>
      <c r="H164" s="15">
        <v>4</v>
      </c>
      <c r="I164" s="2"/>
      <c r="J164" s="17" t="str" cm="1">
        <f t="array" ref="J164">_xlfn.SWITCH(TRIM(I164),"New Member",6000,"Existing Member",5500,"Solo (New Member)",2500,"Solo (Existing Member)",2200,"")</f>
        <v/>
      </c>
      <c r="K164" s="5"/>
      <c r="L164" s="19"/>
      <c r="M164" s="17"/>
      <c r="N164" s="2"/>
      <c r="O164" s="2"/>
      <c r="P164" s="18"/>
    </row>
    <row r="165" spans="1:16" x14ac:dyDescent="0.3">
      <c r="A165" s="23">
        <v>162</v>
      </c>
      <c r="B165" s="11" t="s">
        <v>661</v>
      </c>
      <c r="C165" s="1" t="s">
        <v>662</v>
      </c>
      <c r="D165" s="1" t="s">
        <v>663</v>
      </c>
      <c r="E165" s="3" t="s">
        <v>664</v>
      </c>
      <c r="F165" s="15">
        <v>0</v>
      </c>
      <c r="G165" s="15">
        <v>0</v>
      </c>
      <c r="H165" s="15">
        <v>4</v>
      </c>
      <c r="I165" s="2"/>
      <c r="J165" s="17" t="str" cm="1">
        <f t="array" ref="J165">_xlfn.SWITCH(TRIM(I165),"New Member",6000,"Existing Member",5500,"Solo (New Member)",2500,"Solo (Existing Member)",2200,"")</f>
        <v/>
      </c>
      <c r="K165" s="5"/>
      <c r="L165" s="19"/>
      <c r="M165" s="17"/>
      <c r="N165" s="2"/>
      <c r="O165" s="2"/>
      <c r="P165" s="18"/>
    </row>
    <row r="166" spans="1:16" x14ac:dyDescent="0.3">
      <c r="A166" s="23">
        <v>163</v>
      </c>
      <c r="B166" s="11" t="s">
        <v>665</v>
      </c>
      <c r="C166" s="1" t="s">
        <v>666</v>
      </c>
      <c r="D166" s="1" t="s">
        <v>667</v>
      </c>
      <c r="E166" s="3" t="s">
        <v>668</v>
      </c>
      <c r="F166" s="15">
        <v>0</v>
      </c>
      <c r="G166" s="15">
        <v>0</v>
      </c>
      <c r="H166" s="15">
        <v>4</v>
      </c>
      <c r="I166" s="2"/>
      <c r="J166" s="17" t="str" cm="1">
        <f t="array" ref="J166">_xlfn.SWITCH(TRIM(I166),"New Member",6000,"Existing Member",5500,"Solo (New Member)",2500,"Solo (Existing Member)",2200,"")</f>
        <v/>
      </c>
      <c r="K166" s="5"/>
      <c r="L166" s="19"/>
      <c r="M166" s="17"/>
      <c r="N166" s="2"/>
      <c r="O166" s="2"/>
      <c r="P166" s="18"/>
    </row>
    <row r="167" spans="1:16" ht="39.6" x14ac:dyDescent="0.3">
      <c r="A167" s="23">
        <v>164</v>
      </c>
      <c r="B167" s="11" t="s">
        <v>669</v>
      </c>
      <c r="C167" s="1" t="s">
        <v>670</v>
      </c>
      <c r="D167" s="1" t="s">
        <v>671</v>
      </c>
      <c r="E167" s="3" t="s">
        <v>672</v>
      </c>
      <c r="F167" s="15">
        <v>1</v>
      </c>
      <c r="G167" s="15">
        <v>0</v>
      </c>
      <c r="H167" s="15">
        <v>4</v>
      </c>
      <c r="I167" s="2"/>
      <c r="J167" s="17" t="str" cm="1">
        <f t="array" ref="J167">_xlfn.SWITCH(TRIM(I167),"New Member",6000,"Existing Member",5500,"Solo (New Member)",2500,"Solo (Existing Member)",2200,"")</f>
        <v/>
      </c>
      <c r="K167" s="5"/>
      <c r="L167" s="19"/>
      <c r="M167" s="17"/>
      <c r="N167" s="2"/>
      <c r="O167" s="2"/>
      <c r="P167" s="18"/>
    </row>
    <row r="168" spans="1:16" x14ac:dyDescent="0.3">
      <c r="A168" s="23">
        <v>165</v>
      </c>
      <c r="B168" s="11" t="s">
        <v>673</v>
      </c>
      <c r="C168" s="1" t="s">
        <v>674</v>
      </c>
      <c r="D168" s="1" t="s">
        <v>675</v>
      </c>
      <c r="E168" s="3" t="s">
        <v>676</v>
      </c>
      <c r="F168" s="15">
        <v>1</v>
      </c>
      <c r="G168" s="15">
        <v>1</v>
      </c>
      <c r="H168" s="15">
        <v>4</v>
      </c>
      <c r="I168" s="2"/>
      <c r="J168" s="17" t="str" cm="1">
        <f t="array" ref="J168">_xlfn.SWITCH(TRIM(I168),"New Member",6000,"Existing Member",5500,"Solo (New Member)",2500,"Solo (Existing Member)",2200,"")</f>
        <v/>
      </c>
      <c r="K168" s="5"/>
      <c r="L168" s="19"/>
      <c r="M168" s="17"/>
      <c r="N168" s="2"/>
      <c r="O168" s="2"/>
      <c r="P168" s="18"/>
    </row>
    <row r="169" spans="1:16" x14ac:dyDescent="0.3">
      <c r="A169" s="23">
        <v>166</v>
      </c>
      <c r="B169" s="11" t="s">
        <v>677</v>
      </c>
      <c r="C169" s="1" t="s">
        <v>678</v>
      </c>
      <c r="D169" s="1" t="s">
        <v>679</v>
      </c>
      <c r="E169" s="3" t="s">
        <v>680</v>
      </c>
      <c r="F169" s="15">
        <v>0</v>
      </c>
      <c r="G169" s="15">
        <v>2</v>
      </c>
      <c r="H169" s="15">
        <v>4</v>
      </c>
      <c r="I169" s="2"/>
      <c r="J169" s="17" t="str" cm="1">
        <f t="array" ref="J169">_xlfn.SWITCH(TRIM(I169),"New Member",6000,"Existing Member",5500,"Solo (New Member)",2500,"Solo (Existing Member)",2200,"")</f>
        <v/>
      </c>
      <c r="K169" s="5"/>
      <c r="L169" s="19"/>
      <c r="M169" s="17"/>
      <c r="N169" s="2"/>
      <c r="O169" s="2"/>
      <c r="P169" s="18"/>
    </row>
    <row r="170" spans="1:16" x14ac:dyDescent="0.3">
      <c r="A170" s="23">
        <v>167</v>
      </c>
      <c r="B170" s="11" t="s">
        <v>681</v>
      </c>
      <c r="C170" s="1" t="s">
        <v>682</v>
      </c>
      <c r="D170" s="1" t="s">
        <v>683</v>
      </c>
      <c r="E170" s="3" t="s">
        <v>684</v>
      </c>
      <c r="F170" s="15">
        <v>1</v>
      </c>
      <c r="G170" s="15">
        <v>0</v>
      </c>
      <c r="H170" s="15">
        <v>3</v>
      </c>
      <c r="I170" s="2"/>
      <c r="J170" s="17" t="str" cm="1">
        <f t="array" ref="J170">_xlfn.SWITCH(TRIM(I170),"New Member",6000,"Existing Member",5500,"Solo (New Member)",2500,"Solo (Existing Member)",2200,"")</f>
        <v/>
      </c>
      <c r="K170" s="5"/>
      <c r="L170" s="19"/>
      <c r="M170" s="17"/>
      <c r="N170" s="2"/>
      <c r="O170" s="2"/>
      <c r="P170" s="18"/>
    </row>
    <row r="171" spans="1:16" ht="26.4" x14ac:dyDescent="0.3">
      <c r="A171" s="23">
        <v>168</v>
      </c>
      <c r="B171" s="11" t="s">
        <v>685</v>
      </c>
      <c r="C171" s="1" t="s">
        <v>686</v>
      </c>
      <c r="D171" s="1" t="s">
        <v>687</v>
      </c>
      <c r="E171" s="3" t="s">
        <v>688</v>
      </c>
      <c r="F171" s="15">
        <v>0</v>
      </c>
      <c r="G171" s="15">
        <v>2</v>
      </c>
      <c r="H171" s="15">
        <v>4</v>
      </c>
      <c r="I171" s="2"/>
      <c r="J171" s="17" t="str" cm="1">
        <f t="array" ref="J171">_xlfn.SWITCH(TRIM(I171),"New Member",6000,"Existing Member",5500,"Solo (New Member)",2500,"Solo (Existing Member)",2200,"")</f>
        <v/>
      </c>
      <c r="K171" s="5"/>
      <c r="L171" s="19"/>
      <c r="M171" s="17"/>
      <c r="N171" s="2"/>
      <c r="O171" s="2"/>
      <c r="P171" s="18"/>
    </row>
    <row r="172" spans="1:16" ht="26.4" x14ac:dyDescent="0.3">
      <c r="A172" s="23">
        <v>169</v>
      </c>
      <c r="B172" s="11" t="s">
        <v>689</v>
      </c>
      <c r="C172" s="1" t="s">
        <v>690</v>
      </c>
      <c r="D172" s="1" t="s">
        <v>691</v>
      </c>
      <c r="E172" s="3" t="s">
        <v>692</v>
      </c>
      <c r="F172" s="15">
        <v>1</v>
      </c>
      <c r="G172" s="15">
        <v>0</v>
      </c>
      <c r="H172" s="15">
        <v>3</v>
      </c>
      <c r="I172" s="2"/>
      <c r="J172" s="17" t="str" cm="1">
        <f t="array" ref="J172">_xlfn.SWITCH(TRIM(I172),"New Member",6000,"Existing Member",5500,"Solo (New Member)",2500,"Solo (Existing Member)",2200,"")</f>
        <v/>
      </c>
      <c r="K172" s="5"/>
      <c r="L172" s="19"/>
      <c r="M172" s="17"/>
      <c r="N172" s="2"/>
      <c r="O172" s="2"/>
      <c r="P172" s="18"/>
    </row>
    <row r="173" spans="1:16" x14ac:dyDescent="0.3">
      <c r="A173" s="23">
        <v>170</v>
      </c>
      <c r="B173" s="11" t="s">
        <v>693</v>
      </c>
      <c r="C173" s="1" t="s">
        <v>694</v>
      </c>
      <c r="D173" s="1" t="s">
        <v>695</v>
      </c>
      <c r="E173" s="3" t="s">
        <v>696</v>
      </c>
      <c r="F173" s="15">
        <v>0</v>
      </c>
      <c r="G173" s="15">
        <v>1</v>
      </c>
      <c r="H173" s="15">
        <v>2</v>
      </c>
      <c r="I173" s="2"/>
      <c r="J173" s="17" t="str" cm="1">
        <f t="array" ref="J173">_xlfn.SWITCH(TRIM(I173),"New Member",6000,"Existing Member",5500,"Solo (New Member)",2500,"Solo (Existing Member)",2200,"")</f>
        <v/>
      </c>
      <c r="K173" s="5"/>
      <c r="L173" s="19"/>
      <c r="M173" s="17"/>
      <c r="N173" s="2"/>
      <c r="O173" s="2"/>
      <c r="P173" s="18"/>
    </row>
    <row r="174" spans="1:16" x14ac:dyDescent="0.3">
      <c r="A174" s="23">
        <v>171</v>
      </c>
      <c r="B174" s="11" t="s">
        <v>697</v>
      </c>
      <c r="C174" s="1" t="s">
        <v>698</v>
      </c>
      <c r="D174" s="1" t="s">
        <v>699</v>
      </c>
      <c r="E174" s="3" t="s">
        <v>700</v>
      </c>
      <c r="F174" s="15">
        <v>2</v>
      </c>
      <c r="G174" s="15">
        <v>1</v>
      </c>
      <c r="H174" s="15">
        <v>4</v>
      </c>
      <c r="I174" s="2"/>
      <c r="J174" s="17" t="str" cm="1">
        <f t="array" ref="J174">_xlfn.SWITCH(TRIM(I174),"New Member",6000,"Existing Member",5500,"Solo (New Member)",2500,"Solo (Existing Member)",2200,"")</f>
        <v/>
      </c>
      <c r="K174" s="5"/>
      <c r="L174" s="19"/>
      <c r="M174" s="17"/>
      <c r="N174" s="2"/>
      <c r="O174" s="2"/>
      <c r="P174" s="18"/>
    </row>
    <row r="175" spans="1:16" x14ac:dyDescent="0.3">
      <c r="A175" s="23">
        <v>172</v>
      </c>
      <c r="B175" s="11" t="s">
        <v>701</v>
      </c>
      <c r="C175" s="1" t="s">
        <v>702</v>
      </c>
      <c r="D175" s="1" t="s">
        <v>703</v>
      </c>
      <c r="E175" s="3" t="s">
        <v>704</v>
      </c>
      <c r="F175" s="15">
        <v>0</v>
      </c>
      <c r="G175" s="15">
        <v>0</v>
      </c>
      <c r="H175" s="15">
        <v>4</v>
      </c>
      <c r="I175" s="2"/>
      <c r="J175" s="17" t="str" cm="1">
        <f t="array" ref="J175">_xlfn.SWITCH(TRIM(I175),"New Member",6000,"Existing Member",5500,"Solo (New Member)",2500,"Solo (Existing Member)",2200,"")</f>
        <v/>
      </c>
      <c r="K175" s="5"/>
      <c r="L175" s="19"/>
      <c r="M175" s="17"/>
      <c r="N175" s="2"/>
      <c r="O175" s="2"/>
      <c r="P175" s="18"/>
    </row>
    <row r="176" spans="1:16" x14ac:dyDescent="0.3">
      <c r="A176">
        <v>173</v>
      </c>
      <c r="F176" s="16"/>
      <c r="G176" s="16"/>
      <c r="H176" s="16"/>
      <c r="J176" s="7"/>
      <c r="K176" s="6"/>
      <c r="L176" s="20"/>
      <c r="M176" s="22"/>
      <c r="N176" s="6"/>
    </row>
    <row r="177" spans="1:14" x14ac:dyDescent="0.3">
      <c r="A177">
        <v>174</v>
      </c>
      <c r="F177" s="16"/>
      <c r="G177" s="16"/>
      <c r="H177" s="16"/>
      <c r="J177" s="7"/>
      <c r="K177" s="6"/>
      <c r="L177" s="20"/>
      <c r="M177" s="22"/>
      <c r="N177" s="6"/>
    </row>
    <row r="178" spans="1:14" x14ac:dyDescent="0.3">
      <c r="A178">
        <v>175</v>
      </c>
      <c r="F178" s="16"/>
      <c r="G178" s="16"/>
      <c r="H178" s="16"/>
      <c r="J178" s="7"/>
      <c r="K178" s="6"/>
      <c r="L178" s="20"/>
      <c r="M178" s="22"/>
      <c r="N178" s="6"/>
    </row>
    <row r="179" spans="1:14" x14ac:dyDescent="0.3">
      <c r="A179">
        <v>176</v>
      </c>
      <c r="F179" s="16"/>
      <c r="G179" s="16"/>
      <c r="H179" s="16"/>
      <c r="J179" s="7"/>
      <c r="K179" s="6"/>
      <c r="L179" s="20"/>
      <c r="M179" s="22"/>
      <c r="N179" s="6"/>
    </row>
    <row r="180" spans="1:14" x14ac:dyDescent="0.3">
      <c r="A180">
        <v>177</v>
      </c>
      <c r="F180" s="16"/>
      <c r="G180" s="16"/>
      <c r="H180" s="16"/>
      <c r="J180" s="7"/>
      <c r="K180" s="6"/>
      <c r="L180" s="20"/>
      <c r="M180" s="22"/>
      <c r="N180" s="6"/>
    </row>
    <row r="181" spans="1:14" x14ac:dyDescent="0.3">
      <c r="A181">
        <v>178</v>
      </c>
      <c r="F181" s="16"/>
      <c r="G181" s="16"/>
      <c r="H181" s="16"/>
      <c r="J181" s="7"/>
      <c r="K181" s="6"/>
      <c r="L181" s="20"/>
      <c r="M181" s="22"/>
      <c r="N181" s="6"/>
    </row>
    <row r="182" spans="1:14" x14ac:dyDescent="0.3">
      <c r="A182">
        <v>179</v>
      </c>
      <c r="F182" s="16"/>
      <c r="G182" s="16"/>
      <c r="H182" s="16"/>
      <c r="J182" s="7"/>
      <c r="K182" s="6"/>
      <c r="L182" s="20"/>
      <c r="M182" s="22"/>
      <c r="N182" s="6"/>
    </row>
    <row r="183" spans="1:14" x14ac:dyDescent="0.3">
      <c r="A183">
        <v>180</v>
      </c>
      <c r="F183" s="16"/>
      <c r="G183" s="16"/>
      <c r="H183" s="16"/>
      <c r="J183" s="7"/>
      <c r="K183" s="6"/>
      <c r="L183" s="20"/>
      <c r="M183" s="22"/>
      <c r="N183" s="6"/>
    </row>
    <row r="184" spans="1:14" x14ac:dyDescent="0.3">
      <c r="A184">
        <v>181</v>
      </c>
      <c r="F184" s="16"/>
      <c r="G184" s="16"/>
      <c r="H184" s="16"/>
      <c r="J184" s="7"/>
      <c r="K184" s="6"/>
      <c r="L184" s="20"/>
      <c r="M184" s="22"/>
      <c r="N184" s="6"/>
    </row>
    <row r="185" spans="1:14" x14ac:dyDescent="0.3">
      <c r="A185">
        <v>182</v>
      </c>
      <c r="F185" s="16"/>
      <c r="G185" s="16"/>
      <c r="H185" s="16"/>
      <c r="J185" s="7"/>
      <c r="K185" s="6"/>
      <c r="L185" s="20"/>
      <c r="M185" s="22"/>
      <c r="N185" s="6"/>
    </row>
    <row r="186" spans="1:14" x14ac:dyDescent="0.3">
      <c r="A186">
        <v>183</v>
      </c>
      <c r="F186" s="16"/>
      <c r="G186" s="16"/>
      <c r="H186" s="16"/>
      <c r="J186" s="7"/>
      <c r="K186" s="6"/>
      <c r="L186" s="20"/>
      <c r="M186" s="22"/>
      <c r="N186" s="6"/>
    </row>
    <row r="187" spans="1:14" x14ac:dyDescent="0.3">
      <c r="A187">
        <v>184</v>
      </c>
      <c r="F187" s="16"/>
      <c r="G187" s="16"/>
      <c r="H187" s="16"/>
      <c r="J187" s="7"/>
      <c r="K187" s="6"/>
      <c r="L187" s="20"/>
      <c r="M187" s="22"/>
      <c r="N187" s="6"/>
    </row>
    <row r="188" spans="1:14" x14ac:dyDescent="0.3">
      <c r="A188">
        <v>185</v>
      </c>
      <c r="F188" s="16"/>
      <c r="G188" s="16"/>
      <c r="H188" s="16"/>
      <c r="J188" s="7"/>
      <c r="K188" s="6"/>
      <c r="L188" s="20"/>
      <c r="M188" s="22"/>
      <c r="N188" s="6"/>
    </row>
    <row r="189" spans="1:14" x14ac:dyDescent="0.3">
      <c r="A189">
        <v>186</v>
      </c>
      <c r="F189" s="16"/>
      <c r="G189" s="16"/>
      <c r="H189" s="16"/>
      <c r="J189" s="7"/>
      <c r="K189" s="6"/>
      <c r="L189" s="20"/>
      <c r="M189" s="22"/>
      <c r="N189" s="6"/>
    </row>
    <row r="190" spans="1:14" x14ac:dyDescent="0.3">
      <c r="A190">
        <v>187</v>
      </c>
      <c r="F190" s="16"/>
      <c r="G190" s="16"/>
      <c r="H190" s="16"/>
      <c r="J190" s="7"/>
      <c r="K190" s="6"/>
      <c r="L190" s="20"/>
      <c r="M190" s="22"/>
      <c r="N190" s="6"/>
    </row>
    <row r="191" spans="1:14" x14ac:dyDescent="0.3">
      <c r="A191">
        <v>188</v>
      </c>
      <c r="F191" s="16"/>
      <c r="G191" s="16"/>
      <c r="H191" s="16"/>
      <c r="J191" s="7"/>
      <c r="K191" s="6"/>
      <c r="L191" s="20"/>
      <c r="M191" s="22"/>
      <c r="N191" s="6"/>
    </row>
    <row r="192" spans="1:14" x14ac:dyDescent="0.3">
      <c r="A192">
        <v>189</v>
      </c>
      <c r="F192" s="16"/>
      <c r="G192" s="16"/>
      <c r="H192" s="16"/>
      <c r="J192" s="7"/>
      <c r="K192" s="6"/>
      <c r="L192" s="20"/>
      <c r="M192" s="22"/>
      <c r="N192" s="6"/>
    </row>
    <row r="193" spans="1:14" x14ac:dyDescent="0.3">
      <c r="A193">
        <v>190</v>
      </c>
      <c r="F193" s="16"/>
      <c r="G193" s="16"/>
      <c r="H193" s="16"/>
      <c r="J193" s="7"/>
      <c r="K193" s="6"/>
      <c r="L193" s="20"/>
      <c r="M193" s="22"/>
      <c r="N193" s="6"/>
    </row>
    <row r="194" spans="1:14" x14ac:dyDescent="0.3">
      <c r="A194">
        <v>191</v>
      </c>
      <c r="F194" s="16"/>
      <c r="G194" s="16"/>
      <c r="H194" s="16"/>
      <c r="J194" s="7"/>
      <c r="K194" s="6"/>
      <c r="L194" s="20"/>
      <c r="M194" s="22"/>
      <c r="N194" s="6"/>
    </row>
    <row r="195" spans="1:14" x14ac:dyDescent="0.3">
      <c r="A195">
        <v>192</v>
      </c>
      <c r="F195" s="16"/>
      <c r="G195" s="16"/>
      <c r="H195" s="16"/>
      <c r="J195" s="7"/>
      <c r="K195" s="6"/>
      <c r="L195" s="20"/>
      <c r="M195" s="22"/>
      <c r="N195" s="6"/>
    </row>
    <row r="196" spans="1:14" x14ac:dyDescent="0.3">
      <c r="A196">
        <v>193</v>
      </c>
      <c r="F196" s="16"/>
      <c r="G196" s="16"/>
      <c r="H196" s="16"/>
      <c r="J196" s="7"/>
      <c r="K196" s="6"/>
      <c r="L196" s="20"/>
      <c r="M196" s="22"/>
      <c r="N196" s="6"/>
    </row>
    <row r="197" spans="1:14" x14ac:dyDescent="0.3">
      <c r="A197">
        <v>194</v>
      </c>
      <c r="F197" s="16"/>
      <c r="G197" s="16"/>
      <c r="H197" s="16"/>
      <c r="J197" s="7"/>
      <c r="K197" s="6"/>
      <c r="L197" s="20"/>
      <c r="M197" s="22"/>
      <c r="N197" s="6"/>
    </row>
    <row r="198" spans="1:14" x14ac:dyDescent="0.3">
      <c r="A198">
        <v>195</v>
      </c>
      <c r="F198" s="16"/>
      <c r="G198" s="16"/>
      <c r="H198" s="16"/>
      <c r="J198" s="7"/>
      <c r="K198" s="6"/>
      <c r="L198" s="20"/>
      <c r="M198" s="22"/>
      <c r="N198" s="6"/>
    </row>
    <row r="199" spans="1:14" x14ac:dyDescent="0.3">
      <c r="A199">
        <v>196</v>
      </c>
      <c r="F199" s="16"/>
      <c r="G199" s="16"/>
      <c r="H199" s="16"/>
      <c r="J199" s="7"/>
      <c r="K199" s="6"/>
      <c r="L199" s="20"/>
      <c r="M199" s="22"/>
      <c r="N199" s="6"/>
    </row>
    <row r="200" spans="1:14" x14ac:dyDescent="0.3">
      <c r="A200">
        <v>197</v>
      </c>
      <c r="F200" s="16"/>
      <c r="G200" s="16"/>
      <c r="H200" s="16"/>
      <c r="J200" s="7"/>
      <c r="K200" s="6"/>
      <c r="L200" s="20"/>
      <c r="M200" s="22"/>
      <c r="N200" s="6"/>
    </row>
    <row r="201" spans="1:14" x14ac:dyDescent="0.3">
      <c r="A201">
        <v>198</v>
      </c>
      <c r="F201" s="16"/>
      <c r="G201" s="16"/>
      <c r="H201" s="16"/>
      <c r="J201" s="7"/>
      <c r="K201" s="6"/>
      <c r="L201" s="20"/>
      <c r="M201" s="22"/>
      <c r="N201" s="6"/>
    </row>
    <row r="202" spans="1:14" x14ac:dyDescent="0.3">
      <c r="A202">
        <v>199</v>
      </c>
      <c r="F202" s="16"/>
      <c r="G202" s="16"/>
      <c r="H202" s="16"/>
      <c r="J202" s="7"/>
      <c r="K202" s="6"/>
      <c r="L202" s="20"/>
      <c r="M202" s="22"/>
      <c r="N202" s="6"/>
    </row>
    <row r="203" spans="1:14" x14ac:dyDescent="0.3">
      <c r="A203">
        <v>200</v>
      </c>
      <c r="F203" s="16"/>
      <c r="G203" s="16"/>
      <c r="H203" s="16"/>
      <c r="J203" s="7"/>
      <c r="K203" s="6"/>
      <c r="L203" s="20"/>
      <c r="M203" s="22"/>
      <c r="N203" s="6"/>
    </row>
    <row r="204" spans="1:14" x14ac:dyDescent="0.3">
      <c r="A204">
        <v>201</v>
      </c>
      <c r="F204" s="16"/>
      <c r="G204" s="16"/>
      <c r="H204" s="16"/>
      <c r="J204" s="7"/>
      <c r="K204" s="6"/>
      <c r="L204" s="20"/>
      <c r="M204" s="22"/>
      <c r="N204" s="6"/>
    </row>
    <row r="205" spans="1:14" x14ac:dyDescent="0.3">
      <c r="A205">
        <v>202</v>
      </c>
      <c r="F205" s="16"/>
      <c r="G205" s="16"/>
      <c r="H205" s="16"/>
      <c r="J205" s="7"/>
      <c r="K205" s="6"/>
      <c r="L205" s="20"/>
      <c r="M205" s="22"/>
      <c r="N205" s="6"/>
    </row>
    <row r="206" spans="1:14" x14ac:dyDescent="0.3">
      <c r="A206">
        <v>203</v>
      </c>
      <c r="F206" s="16"/>
      <c r="G206" s="16"/>
      <c r="H206" s="16"/>
      <c r="J206" s="7"/>
      <c r="K206" s="6"/>
      <c r="L206" s="20"/>
      <c r="M206" s="22"/>
      <c r="N206" s="6"/>
    </row>
    <row r="207" spans="1:14" x14ac:dyDescent="0.3">
      <c r="A207">
        <v>204</v>
      </c>
      <c r="F207" s="16"/>
      <c r="G207" s="16"/>
      <c r="H207" s="16"/>
      <c r="J207" s="7"/>
      <c r="K207" s="6"/>
      <c r="L207" s="20"/>
      <c r="M207" s="22"/>
      <c r="N207" s="6"/>
    </row>
    <row r="208" spans="1:14" x14ac:dyDescent="0.3">
      <c r="A208">
        <v>205</v>
      </c>
      <c r="F208" s="16"/>
      <c r="G208" s="16"/>
      <c r="H208" s="16"/>
      <c r="J208" s="7"/>
      <c r="K208" s="6"/>
      <c r="L208" s="20"/>
      <c r="M208" s="22"/>
      <c r="N208" s="6"/>
    </row>
    <row r="209" spans="1:14" x14ac:dyDescent="0.3">
      <c r="A209">
        <v>206</v>
      </c>
      <c r="F209" s="16"/>
      <c r="G209" s="16"/>
      <c r="H209" s="16"/>
      <c r="J209" s="7"/>
      <c r="K209" s="6"/>
      <c r="L209" s="20"/>
      <c r="M209" s="22"/>
      <c r="N209" s="6"/>
    </row>
    <row r="210" spans="1:14" x14ac:dyDescent="0.3">
      <c r="A210">
        <v>207</v>
      </c>
      <c r="F210" s="16"/>
      <c r="G210" s="16"/>
      <c r="H210" s="16"/>
      <c r="J210" s="7"/>
      <c r="K210" s="6"/>
      <c r="L210" s="20"/>
      <c r="M210" s="22"/>
      <c r="N210" s="6"/>
    </row>
    <row r="211" spans="1:14" x14ac:dyDescent="0.3">
      <c r="A211">
        <v>208</v>
      </c>
      <c r="F211" s="16"/>
      <c r="G211" s="16"/>
      <c r="H211" s="16"/>
      <c r="J211" s="7"/>
      <c r="K211" s="6"/>
      <c r="L211" s="20"/>
      <c r="M211" s="22"/>
      <c r="N211" s="6"/>
    </row>
    <row r="212" spans="1:14" x14ac:dyDescent="0.3">
      <c r="A212">
        <v>209</v>
      </c>
      <c r="F212" s="16"/>
      <c r="G212" s="16"/>
      <c r="H212" s="16"/>
      <c r="J212" s="7"/>
      <c r="K212" s="6"/>
      <c r="L212" s="20"/>
      <c r="M212" s="22"/>
      <c r="N212" s="6"/>
    </row>
    <row r="213" spans="1:14" x14ac:dyDescent="0.3">
      <c r="A213">
        <v>210</v>
      </c>
      <c r="F213" s="16"/>
      <c r="G213" s="16"/>
      <c r="H213" s="16"/>
      <c r="J213" s="7"/>
      <c r="K213" s="6"/>
      <c r="L213" s="20"/>
      <c r="M213" s="22"/>
      <c r="N213" s="6"/>
    </row>
    <row r="214" spans="1:14" x14ac:dyDescent="0.3">
      <c r="A214">
        <v>211</v>
      </c>
      <c r="F214" s="16"/>
      <c r="G214" s="16"/>
      <c r="H214" s="16"/>
      <c r="J214" s="7"/>
      <c r="K214" s="6"/>
      <c r="L214" s="20"/>
      <c r="M214" s="22"/>
      <c r="N214" s="6"/>
    </row>
    <row r="215" spans="1:14" x14ac:dyDescent="0.3">
      <c r="A215">
        <v>212</v>
      </c>
      <c r="F215" s="16"/>
      <c r="G215" s="16"/>
      <c r="H215" s="16"/>
      <c r="J215" s="7"/>
      <c r="K215" s="6"/>
      <c r="L215" s="20"/>
      <c r="M215" s="22"/>
      <c r="N215" s="6"/>
    </row>
    <row r="216" spans="1:14" x14ac:dyDescent="0.3">
      <c r="A216">
        <v>213</v>
      </c>
      <c r="F216" s="16"/>
      <c r="G216" s="16"/>
      <c r="H216" s="16"/>
      <c r="J216" s="7"/>
      <c r="K216" s="6"/>
      <c r="L216" s="20"/>
      <c r="M216" s="22"/>
      <c r="N216" s="6"/>
    </row>
    <row r="217" spans="1:14" x14ac:dyDescent="0.3">
      <c r="A217">
        <v>214</v>
      </c>
      <c r="F217" s="16"/>
      <c r="G217" s="16"/>
      <c r="H217" s="16"/>
      <c r="J217" s="7"/>
      <c r="K217" s="6"/>
      <c r="L217" s="20"/>
      <c r="M217" s="22"/>
      <c r="N217" s="6"/>
    </row>
    <row r="218" spans="1:14" x14ac:dyDescent="0.3">
      <c r="A218">
        <v>215</v>
      </c>
      <c r="F218" s="16"/>
      <c r="G218" s="16"/>
      <c r="H218" s="16"/>
      <c r="J218" s="7"/>
      <c r="K218" s="6"/>
      <c r="L218" s="20"/>
      <c r="M218" s="22"/>
      <c r="N218" s="6"/>
    </row>
    <row r="219" spans="1:14" x14ac:dyDescent="0.3">
      <c r="A219">
        <v>216</v>
      </c>
      <c r="F219" s="16"/>
      <c r="G219" s="16"/>
      <c r="H219" s="16"/>
      <c r="J219" s="7"/>
      <c r="K219" s="6"/>
      <c r="L219" s="20"/>
      <c r="M219" s="22"/>
      <c r="N219" s="6"/>
    </row>
    <row r="220" spans="1:14" x14ac:dyDescent="0.3">
      <c r="A220">
        <v>217</v>
      </c>
      <c r="F220" s="16"/>
      <c r="G220" s="16"/>
      <c r="H220" s="16"/>
      <c r="J220" s="7"/>
      <c r="K220" s="6"/>
      <c r="L220" s="20"/>
      <c r="M220" s="22"/>
      <c r="N220" s="6"/>
    </row>
    <row r="221" spans="1:14" x14ac:dyDescent="0.3">
      <c r="A221">
        <v>218</v>
      </c>
      <c r="F221" s="16"/>
      <c r="G221" s="16"/>
      <c r="H221" s="16"/>
      <c r="J221" s="7"/>
      <c r="K221" s="6"/>
      <c r="L221" s="20"/>
      <c r="M221" s="22"/>
      <c r="N221" s="6"/>
    </row>
    <row r="222" spans="1:14" x14ac:dyDescent="0.3">
      <c r="A222">
        <v>219</v>
      </c>
      <c r="F222" s="16"/>
      <c r="G222" s="16"/>
      <c r="H222" s="16"/>
      <c r="J222" s="7"/>
      <c r="K222" s="6"/>
      <c r="L222" s="20"/>
      <c r="M222" s="22"/>
      <c r="N222" s="6"/>
    </row>
    <row r="223" spans="1:14" x14ac:dyDescent="0.3">
      <c r="A223">
        <v>220</v>
      </c>
      <c r="F223" s="16"/>
      <c r="G223" s="16"/>
      <c r="H223" s="16"/>
      <c r="J223" s="7"/>
      <c r="K223" s="6"/>
      <c r="L223" s="20"/>
      <c r="M223" s="22"/>
      <c r="N223" s="6"/>
    </row>
    <row r="224" spans="1:14" x14ac:dyDescent="0.3">
      <c r="A224">
        <v>221</v>
      </c>
      <c r="F224" s="16"/>
      <c r="G224" s="16"/>
      <c r="H224" s="16"/>
      <c r="J224" s="7"/>
      <c r="K224" s="6"/>
      <c r="L224" s="20"/>
      <c r="M224" s="22"/>
      <c r="N224" s="6"/>
    </row>
    <row r="225" spans="1:14" x14ac:dyDescent="0.3">
      <c r="A225">
        <v>222</v>
      </c>
      <c r="F225" s="16"/>
      <c r="G225" s="16"/>
      <c r="H225" s="16"/>
      <c r="J225" s="7"/>
      <c r="K225" s="6"/>
      <c r="L225" s="20"/>
      <c r="M225" s="22"/>
      <c r="N225" s="6"/>
    </row>
    <row r="226" spans="1:14" x14ac:dyDescent="0.3">
      <c r="A226">
        <v>223</v>
      </c>
      <c r="F226" s="16"/>
      <c r="G226" s="16"/>
      <c r="H226" s="16"/>
      <c r="J226" s="7"/>
      <c r="K226" s="6"/>
      <c r="L226" s="20"/>
      <c r="M226" s="22"/>
      <c r="N226" s="6"/>
    </row>
    <row r="227" spans="1:14" x14ac:dyDescent="0.3">
      <c r="A227">
        <v>224</v>
      </c>
      <c r="F227" s="16"/>
      <c r="G227" s="16"/>
      <c r="H227" s="16"/>
      <c r="J227" s="7"/>
      <c r="K227" s="6"/>
      <c r="L227" s="20"/>
      <c r="M227" s="22"/>
      <c r="N227" s="6"/>
    </row>
    <row r="228" spans="1:14" x14ac:dyDescent="0.3">
      <c r="A228">
        <v>225</v>
      </c>
      <c r="F228" s="16"/>
      <c r="G228" s="16"/>
      <c r="H228" s="16"/>
      <c r="J228" s="7"/>
      <c r="K228" s="6"/>
      <c r="L228" s="20"/>
      <c r="M228" s="22"/>
      <c r="N228" s="6"/>
    </row>
    <row r="229" spans="1:14" x14ac:dyDescent="0.3">
      <c r="A229">
        <v>226</v>
      </c>
      <c r="F229" s="16"/>
      <c r="G229" s="16"/>
      <c r="H229" s="16"/>
      <c r="J229" s="7"/>
      <c r="K229" s="6"/>
      <c r="L229" s="20"/>
      <c r="M229" s="22"/>
      <c r="N229" s="6"/>
    </row>
    <row r="230" spans="1:14" x14ac:dyDescent="0.3">
      <c r="A230">
        <v>227</v>
      </c>
      <c r="F230" s="16"/>
      <c r="G230" s="16"/>
      <c r="H230" s="16"/>
      <c r="J230" s="7"/>
      <c r="K230" s="6"/>
      <c r="L230" s="20"/>
      <c r="M230" s="22"/>
      <c r="N230" s="6"/>
    </row>
    <row r="231" spans="1:14" x14ac:dyDescent="0.3">
      <c r="A231">
        <v>228</v>
      </c>
      <c r="F231" s="16"/>
      <c r="G231" s="16"/>
      <c r="H231" s="16"/>
      <c r="J231" s="7"/>
      <c r="K231" s="6"/>
      <c r="L231" s="20"/>
      <c r="M231" s="22"/>
      <c r="N231" s="6"/>
    </row>
    <row r="232" spans="1:14" x14ac:dyDescent="0.3">
      <c r="A232">
        <v>229</v>
      </c>
      <c r="F232" s="16"/>
      <c r="G232" s="16"/>
      <c r="H232" s="16"/>
      <c r="J232" s="7"/>
      <c r="K232" s="6"/>
      <c r="L232" s="20"/>
      <c r="M232" s="22"/>
      <c r="N232" s="6"/>
    </row>
    <row r="233" spans="1:14" x14ac:dyDescent="0.3">
      <c r="A233">
        <v>230</v>
      </c>
      <c r="F233" s="16"/>
      <c r="G233" s="16"/>
      <c r="H233" s="16"/>
      <c r="J233" s="7"/>
      <c r="K233" s="6"/>
      <c r="L233" s="20"/>
      <c r="M233" s="22"/>
      <c r="N233" s="6"/>
    </row>
    <row r="234" spans="1:14" x14ac:dyDescent="0.3">
      <c r="A234">
        <v>231</v>
      </c>
      <c r="F234" s="16"/>
      <c r="G234" s="16"/>
      <c r="H234" s="16"/>
      <c r="J234" s="7"/>
      <c r="K234" s="6"/>
      <c r="L234" s="20"/>
      <c r="M234" s="22"/>
      <c r="N234" s="6"/>
    </row>
    <row r="235" spans="1:14" x14ac:dyDescent="0.3">
      <c r="A235">
        <v>232</v>
      </c>
      <c r="F235" s="16"/>
      <c r="G235" s="16"/>
      <c r="H235" s="16"/>
      <c r="J235" s="7"/>
      <c r="K235" s="6"/>
      <c r="L235" s="20"/>
      <c r="M235" s="22"/>
      <c r="N235" s="6"/>
    </row>
    <row r="236" spans="1:14" x14ac:dyDescent="0.3">
      <c r="A236">
        <v>233</v>
      </c>
      <c r="F236" s="16"/>
      <c r="G236" s="16"/>
      <c r="H236" s="16"/>
      <c r="J236" s="7"/>
      <c r="K236" s="6"/>
      <c r="L236" s="20"/>
      <c r="M236" s="22"/>
      <c r="N236" s="6"/>
    </row>
    <row r="237" spans="1:14" x14ac:dyDescent="0.3">
      <c r="A237">
        <v>234</v>
      </c>
      <c r="F237" s="16"/>
      <c r="G237" s="16"/>
      <c r="H237" s="16"/>
      <c r="J237" s="7"/>
      <c r="K237" s="6"/>
      <c r="L237" s="20"/>
      <c r="M237" s="22"/>
      <c r="N237" s="6"/>
    </row>
    <row r="238" spans="1:14" x14ac:dyDescent="0.3">
      <c r="A238">
        <v>235</v>
      </c>
      <c r="F238" s="16"/>
      <c r="G238" s="16"/>
      <c r="H238" s="16"/>
      <c r="J238" s="7"/>
      <c r="K238" s="6"/>
      <c r="L238" s="20"/>
      <c r="M238" s="22"/>
      <c r="N238" s="6"/>
    </row>
    <row r="239" spans="1:14" x14ac:dyDescent="0.3">
      <c r="A239">
        <v>236</v>
      </c>
      <c r="F239" s="16"/>
      <c r="G239" s="16"/>
      <c r="H239" s="16"/>
      <c r="J239" s="7"/>
      <c r="K239" s="6"/>
      <c r="L239" s="20"/>
      <c r="M239" s="22"/>
      <c r="N239" s="6"/>
    </row>
    <row r="240" spans="1:14" x14ac:dyDescent="0.3">
      <c r="A240">
        <v>237</v>
      </c>
      <c r="F240" s="16"/>
      <c r="G240" s="16"/>
      <c r="H240" s="16"/>
      <c r="J240" s="7"/>
      <c r="K240" s="6"/>
      <c r="L240" s="20"/>
      <c r="M240" s="22"/>
      <c r="N240" s="6"/>
    </row>
    <row r="241" spans="1:14" x14ac:dyDescent="0.3">
      <c r="A241">
        <v>238</v>
      </c>
      <c r="F241" s="16"/>
      <c r="G241" s="16"/>
      <c r="H241" s="16"/>
      <c r="J241" s="7"/>
      <c r="K241" s="6"/>
      <c r="L241" s="20"/>
      <c r="M241" s="22"/>
      <c r="N241" s="6"/>
    </row>
    <row r="242" spans="1:14" x14ac:dyDescent="0.3">
      <c r="A242">
        <v>239</v>
      </c>
      <c r="F242" s="16"/>
      <c r="G242" s="16"/>
      <c r="H242" s="16"/>
      <c r="J242" s="7"/>
      <c r="K242" s="6"/>
      <c r="L242" s="20"/>
      <c r="M242" s="22"/>
      <c r="N242" s="6"/>
    </row>
    <row r="243" spans="1:14" x14ac:dyDescent="0.3">
      <c r="A243">
        <v>240</v>
      </c>
      <c r="F243" s="16"/>
      <c r="G243" s="16"/>
      <c r="H243" s="16"/>
      <c r="J243" s="7"/>
      <c r="K243" s="6"/>
      <c r="L243" s="20"/>
      <c r="M243" s="22"/>
      <c r="N243" s="6"/>
    </row>
    <row r="244" spans="1:14" x14ac:dyDescent="0.3">
      <c r="A244">
        <v>241</v>
      </c>
      <c r="F244" s="16"/>
      <c r="G244" s="16"/>
      <c r="H244" s="16"/>
      <c r="J244" s="7"/>
      <c r="K244" s="6"/>
      <c r="L244" s="20"/>
      <c r="M244" s="22"/>
      <c r="N244" s="6"/>
    </row>
    <row r="245" spans="1:14" x14ac:dyDescent="0.3">
      <c r="A245">
        <v>242</v>
      </c>
      <c r="F245" s="16"/>
      <c r="G245" s="16"/>
      <c r="H245" s="16"/>
      <c r="J245" s="7"/>
      <c r="K245" s="6"/>
      <c r="L245" s="20"/>
      <c r="M245" s="22"/>
      <c r="N245" s="6"/>
    </row>
    <row r="246" spans="1:14" x14ac:dyDescent="0.3">
      <c r="A246">
        <v>243</v>
      </c>
      <c r="F246" s="16"/>
      <c r="G246" s="16"/>
      <c r="H246" s="16"/>
      <c r="J246" s="7"/>
      <c r="K246" s="6"/>
      <c r="L246" s="20"/>
      <c r="M246" s="22"/>
      <c r="N246" s="6"/>
    </row>
    <row r="247" spans="1:14" x14ac:dyDescent="0.3">
      <c r="A247">
        <v>244</v>
      </c>
      <c r="F247" s="16"/>
      <c r="G247" s="16"/>
      <c r="H247" s="16"/>
      <c r="J247" s="7"/>
      <c r="K247" s="6"/>
      <c r="L247" s="20"/>
      <c r="M247" s="22"/>
      <c r="N247" s="6"/>
    </row>
    <row r="248" spans="1:14" x14ac:dyDescent="0.3">
      <c r="A248">
        <v>245</v>
      </c>
      <c r="F248" s="16"/>
      <c r="G248" s="16"/>
      <c r="H248" s="16"/>
      <c r="J248" s="7"/>
      <c r="K248" s="6"/>
      <c r="L248" s="20"/>
      <c r="M248" s="22"/>
      <c r="N248" s="6"/>
    </row>
    <row r="249" spans="1:14" x14ac:dyDescent="0.3">
      <c r="A249">
        <v>246</v>
      </c>
      <c r="F249" s="16"/>
      <c r="G249" s="16"/>
      <c r="H249" s="16"/>
      <c r="J249" s="7"/>
      <c r="K249" s="6"/>
      <c r="L249" s="20"/>
      <c r="M249" s="22"/>
      <c r="N249" s="6"/>
    </row>
    <row r="250" spans="1:14" x14ac:dyDescent="0.3">
      <c r="A250">
        <v>247</v>
      </c>
      <c r="F250" s="16"/>
      <c r="G250" s="16"/>
      <c r="H250" s="16"/>
      <c r="J250" s="7"/>
      <c r="K250" s="6"/>
      <c r="L250" s="20"/>
      <c r="M250" s="22"/>
      <c r="N250" s="6"/>
    </row>
    <row r="251" spans="1:14" x14ac:dyDescent="0.3">
      <c r="A251">
        <v>248</v>
      </c>
      <c r="F251" s="16"/>
      <c r="G251" s="16"/>
      <c r="H251" s="16"/>
      <c r="J251" s="7"/>
      <c r="K251" s="6"/>
      <c r="L251" s="20"/>
      <c r="M251" s="22"/>
      <c r="N251" s="6"/>
    </row>
    <row r="252" spans="1:14" x14ac:dyDescent="0.3">
      <c r="A252">
        <v>249</v>
      </c>
      <c r="F252" s="16"/>
      <c r="G252" s="16"/>
      <c r="H252" s="16"/>
      <c r="J252" s="7"/>
      <c r="K252" s="6"/>
      <c r="L252" s="20"/>
      <c r="M252" s="22"/>
      <c r="N252" s="6"/>
    </row>
    <row r="253" spans="1:14" x14ac:dyDescent="0.3">
      <c r="A253">
        <v>250</v>
      </c>
      <c r="F253" s="16"/>
      <c r="G253" s="16"/>
      <c r="H253" s="16"/>
      <c r="J253" s="7"/>
      <c r="K253" s="6"/>
      <c r="L253" s="20"/>
      <c r="M253" s="22"/>
      <c r="N253" s="6"/>
    </row>
    <row r="254" spans="1:14" x14ac:dyDescent="0.3">
      <c r="A254">
        <v>251</v>
      </c>
      <c r="F254" s="16"/>
      <c r="G254" s="16"/>
      <c r="H254" s="16"/>
      <c r="J254" s="7"/>
      <c r="K254" s="6"/>
      <c r="L254" s="20"/>
      <c r="M254" s="22"/>
      <c r="N254" s="6"/>
    </row>
    <row r="255" spans="1:14" x14ac:dyDescent="0.3">
      <c r="A255">
        <v>252</v>
      </c>
      <c r="F255" s="16"/>
      <c r="G255" s="16"/>
      <c r="H255" s="16"/>
      <c r="J255" s="7"/>
      <c r="K255" s="6"/>
      <c r="L255" s="20"/>
      <c r="M255" s="22"/>
      <c r="N255" s="6"/>
    </row>
    <row r="256" spans="1:14" x14ac:dyDescent="0.3">
      <c r="A256">
        <v>253</v>
      </c>
      <c r="F256" s="16"/>
      <c r="G256" s="16"/>
      <c r="H256" s="16"/>
      <c r="J256" s="7"/>
      <c r="K256" s="6"/>
      <c r="L256" s="20"/>
      <c r="M256" s="22"/>
      <c r="N256" s="6"/>
    </row>
    <row r="257" spans="1:14" x14ac:dyDescent="0.3">
      <c r="A257">
        <v>254</v>
      </c>
      <c r="F257" s="16"/>
      <c r="G257" s="16"/>
      <c r="H257" s="16"/>
      <c r="J257" s="7"/>
      <c r="K257" s="6"/>
      <c r="L257" s="20"/>
      <c r="M257" s="22"/>
      <c r="N257" s="6"/>
    </row>
    <row r="258" spans="1:14" x14ac:dyDescent="0.3">
      <c r="A258">
        <v>255</v>
      </c>
      <c r="F258" s="16"/>
      <c r="G258" s="16"/>
      <c r="H258" s="16"/>
      <c r="J258" s="7"/>
      <c r="K258" s="6"/>
      <c r="L258" s="20"/>
      <c r="M258" s="22"/>
      <c r="N258" s="6"/>
    </row>
    <row r="259" spans="1:14" x14ac:dyDescent="0.3">
      <c r="A259">
        <v>256</v>
      </c>
      <c r="F259" s="16"/>
      <c r="G259" s="16"/>
      <c r="H259" s="16"/>
      <c r="J259" s="7"/>
      <c r="K259" s="6"/>
      <c r="L259" s="20"/>
      <c r="M259" s="22"/>
      <c r="N259" s="6"/>
    </row>
    <row r="260" spans="1:14" x14ac:dyDescent="0.3">
      <c r="A260">
        <v>257</v>
      </c>
      <c r="F260" s="16"/>
      <c r="G260" s="16"/>
      <c r="H260" s="16"/>
      <c r="J260" s="7"/>
      <c r="K260" s="6"/>
      <c r="L260" s="20"/>
      <c r="M260" s="22"/>
      <c r="N260" s="6"/>
    </row>
    <row r="261" spans="1:14" x14ac:dyDescent="0.3">
      <c r="A261">
        <v>258</v>
      </c>
      <c r="F261" s="16"/>
      <c r="G261" s="16"/>
      <c r="H261" s="16"/>
      <c r="J261" s="7"/>
      <c r="K261" s="6"/>
      <c r="L261" s="20"/>
      <c r="M261" s="22"/>
      <c r="N261" s="6"/>
    </row>
    <row r="262" spans="1:14" x14ac:dyDescent="0.3">
      <c r="A262">
        <v>259</v>
      </c>
      <c r="F262" s="16"/>
      <c r="G262" s="16"/>
      <c r="H262" s="16"/>
      <c r="J262" s="7"/>
      <c r="K262" s="6"/>
      <c r="L262" s="20"/>
      <c r="M262" s="22"/>
      <c r="N262" s="6"/>
    </row>
    <row r="263" spans="1:14" x14ac:dyDescent="0.3">
      <c r="A263">
        <v>260</v>
      </c>
      <c r="F263" s="16"/>
      <c r="G263" s="16"/>
      <c r="H263" s="16"/>
      <c r="J263" s="7"/>
      <c r="K263" s="6"/>
      <c r="L263" s="20"/>
      <c r="M263" s="22"/>
      <c r="N263" s="6"/>
    </row>
    <row r="264" spans="1:14" x14ac:dyDescent="0.3">
      <c r="A264">
        <v>261</v>
      </c>
      <c r="F264" s="16"/>
      <c r="G264" s="16"/>
      <c r="H264" s="16"/>
      <c r="J264" s="7"/>
      <c r="K264" s="6"/>
      <c r="L264" s="20"/>
      <c r="M264" s="22"/>
      <c r="N264" s="6"/>
    </row>
    <row r="265" spans="1:14" x14ac:dyDescent="0.3">
      <c r="A265">
        <v>262</v>
      </c>
      <c r="F265" s="16"/>
      <c r="G265" s="16"/>
      <c r="H265" s="16"/>
      <c r="J265" s="7"/>
      <c r="K265" s="6"/>
      <c r="L265" s="20"/>
      <c r="M265" s="22"/>
      <c r="N265" s="6"/>
    </row>
    <row r="266" spans="1:14" x14ac:dyDescent="0.3">
      <c r="A266">
        <v>263</v>
      </c>
      <c r="F266" s="16"/>
      <c r="G266" s="16"/>
      <c r="H266" s="16"/>
      <c r="J266" s="7"/>
      <c r="K266" s="6"/>
      <c r="L266" s="20"/>
      <c r="M266" s="22"/>
      <c r="N266" s="6"/>
    </row>
    <row r="267" spans="1:14" x14ac:dyDescent="0.3">
      <c r="A267">
        <v>264</v>
      </c>
      <c r="F267" s="16"/>
      <c r="G267" s="16"/>
      <c r="H267" s="16"/>
      <c r="J267" s="7"/>
      <c r="K267" s="6"/>
      <c r="L267" s="20"/>
      <c r="M267" s="22"/>
      <c r="N267" s="6"/>
    </row>
    <row r="268" spans="1:14" x14ac:dyDescent="0.3">
      <c r="A268">
        <v>265</v>
      </c>
      <c r="F268" s="16"/>
      <c r="G268" s="16"/>
      <c r="H268" s="16"/>
      <c r="J268" s="7"/>
      <c r="K268" s="6"/>
      <c r="L268" s="20"/>
      <c r="M268" s="22"/>
      <c r="N268" s="6"/>
    </row>
    <row r="269" spans="1:14" x14ac:dyDescent="0.3">
      <c r="A269">
        <v>266</v>
      </c>
      <c r="F269" s="16"/>
      <c r="G269" s="16"/>
      <c r="H269" s="16"/>
      <c r="J269" s="7"/>
      <c r="K269" s="6"/>
      <c r="L269" s="20"/>
      <c r="M269" s="22"/>
      <c r="N269" s="6"/>
    </row>
    <row r="270" spans="1:14" x14ac:dyDescent="0.3">
      <c r="A270">
        <v>267</v>
      </c>
      <c r="F270" s="16"/>
      <c r="G270" s="16"/>
      <c r="H270" s="16"/>
      <c r="J270" s="7"/>
      <c r="K270" s="6"/>
      <c r="L270" s="20"/>
      <c r="M270" s="22"/>
      <c r="N270" s="6"/>
    </row>
    <row r="271" spans="1:14" x14ac:dyDescent="0.3">
      <c r="A271">
        <v>268</v>
      </c>
      <c r="F271" s="16"/>
      <c r="G271" s="16"/>
      <c r="H271" s="16"/>
      <c r="J271" s="7"/>
      <c r="K271" s="6"/>
      <c r="L271" s="20"/>
      <c r="M271" s="22"/>
      <c r="N271" s="6"/>
    </row>
    <row r="272" spans="1:14" x14ac:dyDescent="0.3">
      <c r="A272">
        <v>269</v>
      </c>
      <c r="F272" s="16"/>
      <c r="G272" s="16"/>
      <c r="H272" s="16"/>
      <c r="J272" s="7"/>
      <c r="K272" s="6"/>
      <c r="L272" s="20"/>
      <c r="M272" s="22"/>
      <c r="N272" s="6"/>
    </row>
    <row r="273" spans="1:14" x14ac:dyDescent="0.3">
      <c r="A273">
        <v>270</v>
      </c>
      <c r="F273" s="16"/>
      <c r="G273" s="16"/>
      <c r="H273" s="16"/>
      <c r="J273" s="7"/>
      <c r="K273" s="6"/>
      <c r="L273" s="20"/>
      <c r="M273" s="22"/>
      <c r="N273" s="6"/>
    </row>
    <row r="274" spans="1:14" x14ac:dyDescent="0.3">
      <c r="A274">
        <v>271</v>
      </c>
      <c r="F274" s="16"/>
      <c r="G274" s="16"/>
      <c r="H274" s="16"/>
      <c r="J274" s="7"/>
      <c r="K274" s="6"/>
      <c r="L274" s="20"/>
      <c r="M274" s="22"/>
      <c r="N274" s="6"/>
    </row>
    <row r="275" spans="1:14" x14ac:dyDescent="0.3">
      <c r="A275">
        <v>272</v>
      </c>
      <c r="F275" s="16"/>
      <c r="G275" s="16"/>
      <c r="H275" s="16"/>
      <c r="J275" s="7"/>
      <c r="K275" s="6"/>
      <c r="L275" s="20"/>
      <c r="M275" s="22"/>
      <c r="N275" s="6"/>
    </row>
    <row r="276" spans="1:14" x14ac:dyDescent="0.3">
      <c r="A276">
        <v>273</v>
      </c>
      <c r="F276" s="16"/>
      <c r="G276" s="16"/>
      <c r="H276" s="16"/>
      <c r="J276" s="7"/>
      <c r="K276" s="6"/>
      <c r="L276" s="20"/>
      <c r="M276" s="22"/>
      <c r="N276" s="6"/>
    </row>
    <row r="277" spans="1:14" x14ac:dyDescent="0.3">
      <c r="A277">
        <v>274</v>
      </c>
      <c r="F277" s="16"/>
      <c r="G277" s="16"/>
      <c r="H277" s="16"/>
      <c r="J277" s="7"/>
      <c r="K277" s="6"/>
      <c r="L277" s="20"/>
      <c r="M277" s="22"/>
      <c r="N277" s="6"/>
    </row>
    <row r="278" spans="1:14" x14ac:dyDescent="0.3">
      <c r="A278">
        <v>275</v>
      </c>
      <c r="F278" s="16"/>
      <c r="G278" s="16"/>
      <c r="H278" s="16"/>
      <c r="J278" s="7"/>
      <c r="K278" s="6"/>
      <c r="L278" s="20"/>
      <c r="M278" s="22"/>
      <c r="N278" s="6"/>
    </row>
    <row r="279" spans="1:14" x14ac:dyDescent="0.3">
      <c r="A279">
        <v>276</v>
      </c>
      <c r="F279" s="16"/>
      <c r="G279" s="16"/>
      <c r="H279" s="16"/>
      <c r="J279" s="7"/>
      <c r="K279" s="6"/>
      <c r="L279" s="20"/>
      <c r="M279" s="22"/>
      <c r="N279" s="6"/>
    </row>
    <row r="280" spans="1:14" x14ac:dyDescent="0.3">
      <c r="A280">
        <v>277</v>
      </c>
      <c r="F280" s="16"/>
      <c r="G280" s="16"/>
      <c r="H280" s="16"/>
      <c r="J280" s="7"/>
      <c r="K280" s="6"/>
      <c r="L280" s="20"/>
      <c r="M280" s="22"/>
      <c r="N280" s="6"/>
    </row>
    <row r="281" spans="1:14" x14ac:dyDescent="0.3">
      <c r="A281">
        <v>278</v>
      </c>
      <c r="F281" s="16"/>
      <c r="G281" s="16"/>
      <c r="H281" s="16"/>
      <c r="J281" s="7"/>
      <c r="K281" s="6"/>
      <c r="L281" s="20"/>
      <c r="M281" s="22"/>
      <c r="N281" s="6"/>
    </row>
    <row r="282" spans="1:14" x14ac:dyDescent="0.3">
      <c r="A282">
        <v>279</v>
      </c>
      <c r="F282" s="16"/>
      <c r="G282" s="16"/>
      <c r="H282" s="16"/>
      <c r="J282" s="7"/>
      <c r="K282" s="6"/>
      <c r="L282" s="20"/>
      <c r="M282" s="22"/>
      <c r="N282" s="6"/>
    </row>
    <row r="283" spans="1:14" x14ac:dyDescent="0.3">
      <c r="A283">
        <v>280</v>
      </c>
      <c r="F283" s="16"/>
      <c r="G283" s="16"/>
      <c r="H283" s="16"/>
      <c r="J283" s="7"/>
      <c r="K283" s="6"/>
      <c r="L283" s="20"/>
      <c r="M283" s="22"/>
      <c r="N283" s="6"/>
    </row>
    <row r="284" spans="1:14" x14ac:dyDescent="0.3">
      <c r="A284">
        <v>281</v>
      </c>
      <c r="F284" s="16"/>
      <c r="G284" s="16"/>
      <c r="H284" s="16"/>
      <c r="J284" s="7"/>
      <c r="K284" s="6"/>
      <c r="L284" s="20"/>
      <c r="M284" s="22"/>
      <c r="N284" s="6"/>
    </row>
    <row r="285" spans="1:14" x14ac:dyDescent="0.3">
      <c r="A285">
        <v>282</v>
      </c>
      <c r="F285" s="16"/>
      <c r="G285" s="16"/>
      <c r="H285" s="16"/>
      <c r="J285" s="7"/>
      <c r="K285" s="6"/>
      <c r="L285" s="20"/>
      <c r="M285" s="22"/>
      <c r="N285" s="6"/>
    </row>
    <row r="286" spans="1:14" x14ac:dyDescent="0.3">
      <c r="A286">
        <v>283</v>
      </c>
      <c r="F286" s="16"/>
      <c r="G286" s="16"/>
      <c r="H286" s="16"/>
      <c r="J286" s="7"/>
      <c r="K286" s="6"/>
      <c r="L286" s="20"/>
      <c r="M286" s="22"/>
      <c r="N286" s="6"/>
    </row>
    <row r="287" spans="1:14" x14ac:dyDescent="0.3">
      <c r="A287">
        <v>284</v>
      </c>
      <c r="F287" s="16"/>
      <c r="G287" s="16"/>
      <c r="H287" s="16"/>
      <c r="J287" s="7"/>
      <c r="K287" s="6"/>
      <c r="L287" s="20"/>
      <c r="M287" s="22"/>
      <c r="N287" s="6"/>
    </row>
    <row r="288" spans="1:14" x14ac:dyDescent="0.3">
      <c r="A288">
        <v>285</v>
      </c>
      <c r="F288" s="16"/>
      <c r="G288" s="16"/>
      <c r="H288" s="16"/>
      <c r="J288" s="7"/>
      <c r="K288" s="6"/>
      <c r="L288" s="20"/>
      <c r="M288" s="22"/>
      <c r="N288" s="6"/>
    </row>
    <row r="289" spans="1:14" x14ac:dyDescent="0.3">
      <c r="A289">
        <v>286</v>
      </c>
      <c r="F289" s="16"/>
      <c r="G289" s="16"/>
      <c r="H289" s="16"/>
      <c r="J289" s="7"/>
      <c r="K289" s="6"/>
      <c r="L289" s="20"/>
      <c r="M289" s="22"/>
      <c r="N289" s="6"/>
    </row>
    <row r="290" spans="1:14" x14ac:dyDescent="0.3">
      <c r="A290">
        <v>287</v>
      </c>
      <c r="F290" s="16"/>
      <c r="G290" s="16"/>
      <c r="H290" s="16"/>
      <c r="J290" s="7"/>
      <c r="K290" s="6"/>
      <c r="L290" s="20"/>
      <c r="M290" s="22"/>
      <c r="N290" s="6"/>
    </row>
    <row r="291" spans="1:14" x14ac:dyDescent="0.3">
      <c r="A291">
        <v>288</v>
      </c>
      <c r="F291" s="16"/>
      <c r="G291" s="16"/>
      <c r="H291" s="16"/>
      <c r="J291" s="7"/>
      <c r="K291" s="6"/>
      <c r="L291" s="20"/>
      <c r="M291" s="22"/>
      <c r="N291" s="6"/>
    </row>
    <row r="292" spans="1:14" x14ac:dyDescent="0.3">
      <c r="A292">
        <v>289</v>
      </c>
      <c r="F292" s="16"/>
      <c r="G292" s="16"/>
      <c r="H292" s="16"/>
      <c r="J292" s="7"/>
      <c r="K292" s="6"/>
      <c r="L292" s="20"/>
      <c r="M292" s="22"/>
      <c r="N292" s="6"/>
    </row>
    <row r="293" spans="1:14" x14ac:dyDescent="0.3">
      <c r="A293">
        <v>290</v>
      </c>
      <c r="F293" s="16"/>
      <c r="G293" s="16"/>
      <c r="H293" s="16"/>
      <c r="J293" s="7"/>
      <c r="K293" s="6"/>
      <c r="L293" s="20"/>
      <c r="M293" s="22"/>
      <c r="N293" s="6"/>
    </row>
    <row r="294" spans="1:14" x14ac:dyDescent="0.3">
      <c r="A294">
        <v>291</v>
      </c>
      <c r="F294" s="16"/>
      <c r="G294" s="16"/>
      <c r="H294" s="16"/>
      <c r="J294" s="7"/>
      <c r="K294" s="6"/>
      <c r="L294" s="20"/>
      <c r="M294" s="22"/>
      <c r="N294" s="6"/>
    </row>
    <row r="295" spans="1:14" x14ac:dyDescent="0.3">
      <c r="A295">
        <v>292</v>
      </c>
      <c r="F295" s="16"/>
      <c r="G295" s="16"/>
      <c r="H295" s="16"/>
      <c r="J295" s="7"/>
      <c r="K295" s="6"/>
      <c r="L295" s="20"/>
      <c r="M295" s="22"/>
      <c r="N295" s="6"/>
    </row>
    <row r="296" spans="1:14" x14ac:dyDescent="0.3">
      <c r="A296">
        <v>293</v>
      </c>
      <c r="F296" s="16"/>
      <c r="G296" s="16"/>
      <c r="H296" s="16"/>
      <c r="J296" s="7"/>
      <c r="K296" s="6"/>
      <c r="L296" s="20"/>
      <c r="M296" s="22"/>
      <c r="N296" s="6"/>
    </row>
    <row r="297" spans="1:14" x14ac:dyDescent="0.3">
      <c r="A297">
        <v>294</v>
      </c>
      <c r="F297" s="16"/>
      <c r="G297" s="16"/>
      <c r="H297" s="16"/>
      <c r="J297" s="7"/>
      <c r="K297" s="6"/>
      <c r="L297" s="20"/>
      <c r="M297" s="22"/>
      <c r="N297" s="6"/>
    </row>
    <row r="298" spans="1:14" x14ac:dyDescent="0.3">
      <c r="A298">
        <v>295</v>
      </c>
      <c r="F298" s="16"/>
      <c r="G298" s="16"/>
      <c r="H298" s="16"/>
      <c r="J298" s="7"/>
      <c r="K298" s="6"/>
      <c r="L298" s="20"/>
      <c r="M298" s="22"/>
      <c r="N298" s="6"/>
    </row>
    <row r="299" spans="1:14" x14ac:dyDescent="0.3">
      <c r="A299">
        <v>296</v>
      </c>
      <c r="F299" s="16"/>
      <c r="G299" s="16"/>
      <c r="H299" s="16"/>
      <c r="J299" s="7"/>
      <c r="K299" s="6"/>
      <c r="L299" s="20"/>
      <c r="M299" s="22"/>
      <c r="N299" s="6"/>
    </row>
    <row r="300" spans="1:14" x14ac:dyDescent="0.3">
      <c r="A300">
        <v>297</v>
      </c>
      <c r="F300" s="16"/>
      <c r="G300" s="16"/>
      <c r="H300" s="16"/>
      <c r="J300" s="7"/>
      <c r="K300" s="6"/>
      <c r="L300" s="20"/>
      <c r="M300" s="22"/>
      <c r="N300" s="6"/>
    </row>
    <row r="301" spans="1:14" x14ac:dyDescent="0.3">
      <c r="A301">
        <v>298</v>
      </c>
      <c r="F301" s="16"/>
      <c r="G301" s="16"/>
      <c r="H301" s="16"/>
      <c r="J301" s="7"/>
      <c r="K301" s="6"/>
      <c r="L301" s="20"/>
      <c r="M301" s="22"/>
      <c r="N301" s="6"/>
    </row>
    <row r="302" spans="1:14" x14ac:dyDescent="0.3">
      <c r="A302">
        <v>299</v>
      </c>
      <c r="F302" s="16"/>
      <c r="G302" s="16"/>
      <c r="H302" s="16"/>
      <c r="J302" s="7"/>
      <c r="K302" s="6"/>
      <c r="L302" s="20"/>
      <c r="M302" s="22"/>
      <c r="N302" s="6"/>
    </row>
    <row r="303" spans="1:14" x14ac:dyDescent="0.3">
      <c r="A303">
        <v>300</v>
      </c>
      <c r="F303" s="16"/>
      <c r="G303" s="16"/>
      <c r="H303" s="16"/>
      <c r="J303" s="7"/>
      <c r="K303" s="6"/>
      <c r="L303" s="20"/>
      <c r="M303" s="22"/>
      <c r="N303" s="6"/>
    </row>
    <row r="304" spans="1:14" x14ac:dyDescent="0.3">
      <c r="A304">
        <v>301</v>
      </c>
      <c r="F304" s="16"/>
      <c r="G304" s="16"/>
      <c r="H304" s="16"/>
      <c r="J304" s="7"/>
      <c r="K304" s="6"/>
      <c r="L304" s="20"/>
      <c r="M304" s="22"/>
      <c r="N304" s="6"/>
    </row>
    <row r="305" spans="1:14" x14ac:dyDescent="0.3">
      <c r="A305">
        <v>302</v>
      </c>
      <c r="F305" s="16"/>
      <c r="G305" s="16"/>
      <c r="H305" s="16"/>
      <c r="J305" s="7"/>
      <c r="K305" s="6"/>
      <c r="L305" s="20"/>
      <c r="M305" s="22"/>
      <c r="N305" s="6"/>
    </row>
    <row r="306" spans="1:14" x14ac:dyDescent="0.3">
      <c r="A306">
        <v>303</v>
      </c>
      <c r="F306" s="16"/>
      <c r="G306" s="16"/>
      <c r="H306" s="16"/>
      <c r="J306" s="7"/>
      <c r="K306" s="6"/>
      <c r="L306" s="20"/>
      <c r="M306" s="22"/>
      <c r="N306" s="6"/>
    </row>
    <row r="307" spans="1:14" x14ac:dyDescent="0.3">
      <c r="A307">
        <v>304</v>
      </c>
      <c r="F307" s="16"/>
      <c r="G307" s="16"/>
      <c r="H307" s="16"/>
      <c r="J307" s="7"/>
      <c r="K307" s="6"/>
      <c r="L307" s="20"/>
      <c r="M307" s="22"/>
      <c r="N307" s="6"/>
    </row>
    <row r="308" spans="1:14" x14ac:dyDescent="0.3">
      <c r="A308">
        <v>305</v>
      </c>
      <c r="F308" s="16"/>
      <c r="G308" s="16"/>
      <c r="H308" s="16"/>
      <c r="J308" s="7"/>
      <c r="K308" s="6"/>
      <c r="L308" s="20"/>
      <c r="M308" s="22"/>
      <c r="N308" s="6"/>
    </row>
    <row r="309" spans="1:14" x14ac:dyDescent="0.3">
      <c r="A309">
        <v>306</v>
      </c>
      <c r="F309" s="16"/>
      <c r="G309" s="16"/>
      <c r="H309" s="16"/>
      <c r="J309" s="7"/>
      <c r="K309" s="6"/>
      <c r="L309" s="20"/>
      <c r="M309" s="22"/>
      <c r="N309" s="6"/>
    </row>
    <row r="310" spans="1:14" x14ac:dyDescent="0.3">
      <c r="A310">
        <v>307</v>
      </c>
      <c r="F310" s="16"/>
      <c r="G310" s="16"/>
      <c r="H310" s="16"/>
      <c r="J310" s="7"/>
      <c r="K310" s="6"/>
      <c r="L310" s="20"/>
      <c r="M310" s="22"/>
      <c r="N310" s="6"/>
    </row>
    <row r="311" spans="1:14" x14ac:dyDescent="0.3">
      <c r="A311">
        <v>308</v>
      </c>
      <c r="F311" s="16"/>
      <c r="G311" s="16"/>
      <c r="H311" s="16"/>
      <c r="J311" s="7"/>
      <c r="K311" s="6"/>
      <c r="L311" s="20"/>
      <c r="M311" s="22"/>
      <c r="N311" s="6"/>
    </row>
    <row r="312" spans="1:14" x14ac:dyDescent="0.3">
      <c r="A312">
        <v>309</v>
      </c>
      <c r="F312" s="16"/>
      <c r="G312" s="16"/>
      <c r="H312" s="16"/>
      <c r="J312" s="7"/>
      <c r="K312" s="6"/>
      <c r="L312" s="20"/>
      <c r="M312" s="22"/>
      <c r="N312" s="6"/>
    </row>
    <row r="313" spans="1:14" x14ac:dyDescent="0.3">
      <c r="A313">
        <v>310</v>
      </c>
      <c r="F313" s="16"/>
      <c r="G313" s="16"/>
      <c r="H313" s="16"/>
      <c r="J313" s="7"/>
      <c r="K313" s="6"/>
      <c r="L313" s="20"/>
      <c r="M313" s="22"/>
      <c r="N313" s="6"/>
    </row>
    <row r="314" spans="1:14" x14ac:dyDescent="0.3">
      <c r="A314">
        <v>311</v>
      </c>
      <c r="F314" s="16"/>
      <c r="G314" s="16"/>
      <c r="H314" s="16"/>
      <c r="J314" s="7"/>
      <c r="K314" s="6"/>
      <c r="L314" s="20"/>
      <c r="M314" s="22"/>
      <c r="N314" s="6"/>
    </row>
    <row r="315" spans="1:14" x14ac:dyDescent="0.3">
      <c r="A315">
        <v>312</v>
      </c>
      <c r="F315" s="16"/>
      <c r="G315" s="16"/>
      <c r="H315" s="16"/>
      <c r="J315" s="7"/>
      <c r="K315" s="6"/>
      <c r="L315" s="20"/>
      <c r="M315" s="22"/>
      <c r="N315" s="6"/>
    </row>
    <row r="316" spans="1:14" x14ac:dyDescent="0.3">
      <c r="A316">
        <v>313</v>
      </c>
      <c r="F316" s="16"/>
      <c r="G316" s="16"/>
      <c r="H316" s="16"/>
      <c r="J316" s="7"/>
      <c r="K316" s="6"/>
      <c r="L316" s="20"/>
      <c r="M316" s="22"/>
      <c r="N316" s="6"/>
    </row>
    <row r="317" spans="1:14" x14ac:dyDescent="0.3">
      <c r="A317">
        <v>314</v>
      </c>
      <c r="F317" s="16"/>
      <c r="G317" s="16"/>
      <c r="H317" s="16"/>
      <c r="J317" s="7"/>
      <c r="K317" s="6"/>
      <c r="L317" s="20"/>
      <c r="M317" s="22"/>
      <c r="N317" s="6"/>
    </row>
    <row r="318" spans="1:14" x14ac:dyDescent="0.3">
      <c r="A318">
        <v>315</v>
      </c>
      <c r="F318" s="16"/>
      <c r="G318" s="16"/>
      <c r="H318" s="16"/>
      <c r="J318" s="7"/>
      <c r="K318" s="6"/>
      <c r="L318" s="20"/>
      <c r="M318" s="22"/>
      <c r="N318" s="6"/>
    </row>
    <row r="319" spans="1:14" x14ac:dyDescent="0.3">
      <c r="A319">
        <v>316</v>
      </c>
      <c r="F319" s="16"/>
      <c r="G319" s="16"/>
      <c r="H319" s="16"/>
      <c r="J319" s="7"/>
      <c r="K319" s="6"/>
      <c r="L319" s="20"/>
      <c r="M319" s="22"/>
      <c r="N319" s="6"/>
    </row>
    <row r="320" spans="1:14" x14ac:dyDescent="0.3">
      <c r="A320">
        <v>317</v>
      </c>
      <c r="F320" s="16"/>
      <c r="G320" s="16"/>
      <c r="H320" s="16"/>
      <c r="J320" s="7"/>
      <c r="K320" s="6"/>
      <c r="L320" s="20"/>
      <c r="M320" s="22"/>
      <c r="N320" s="6"/>
    </row>
    <row r="321" spans="1:14" x14ac:dyDescent="0.3">
      <c r="A321">
        <v>318</v>
      </c>
      <c r="F321" s="16"/>
      <c r="G321" s="16"/>
      <c r="H321" s="16"/>
      <c r="J321" s="7"/>
      <c r="K321" s="6"/>
      <c r="L321" s="20"/>
      <c r="M321" s="22"/>
      <c r="N321" s="6"/>
    </row>
    <row r="322" spans="1:14" x14ac:dyDescent="0.3">
      <c r="A322">
        <v>319</v>
      </c>
      <c r="F322" s="16"/>
      <c r="G322" s="16"/>
      <c r="H322" s="16"/>
      <c r="J322" s="7"/>
      <c r="K322" s="6"/>
      <c r="L322" s="20"/>
      <c r="M322" s="22"/>
      <c r="N322" s="6"/>
    </row>
    <row r="323" spans="1:14" x14ac:dyDescent="0.3">
      <c r="A323">
        <v>320</v>
      </c>
      <c r="F323" s="16"/>
      <c r="G323" s="16"/>
      <c r="H323" s="16"/>
      <c r="J323" s="7"/>
      <c r="K323" s="6"/>
      <c r="L323" s="20"/>
      <c r="M323" s="22"/>
      <c r="N323" s="6"/>
    </row>
    <row r="324" spans="1:14" x14ac:dyDescent="0.3">
      <c r="A324">
        <v>321</v>
      </c>
      <c r="F324" s="16"/>
      <c r="G324" s="16"/>
      <c r="H324" s="16"/>
      <c r="J324" s="7"/>
      <c r="K324" s="6"/>
      <c r="L324" s="20"/>
      <c r="M324" s="22"/>
      <c r="N324" s="6"/>
    </row>
    <row r="325" spans="1:14" x14ac:dyDescent="0.3">
      <c r="A325">
        <v>322</v>
      </c>
      <c r="F325" s="16"/>
      <c r="G325" s="16"/>
      <c r="H325" s="16"/>
      <c r="J325" s="7"/>
      <c r="K325" s="6"/>
      <c r="L325" s="20"/>
      <c r="M325" s="22"/>
      <c r="N325" s="6"/>
    </row>
    <row r="326" spans="1:14" x14ac:dyDescent="0.3">
      <c r="A326">
        <v>323</v>
      </c>
      <c r="F326" s="16"/>
      <c r="G326" s="16"/>
      <c r="H326" s="16"/>
      <c r="J326" s="7"/>
      <c r="K326" s="6"/>
      <c r="L326" s="20"/>
      <c r="M326" s="22"/>
      <c r="N326" s="6"/>
    </row>
    <row r="327" spans="1:14" x14ac:dyDescent="0.3">
      <c r="A327">
        <v>324</v>
      </c>
      <c r="F327" s="16"/>
      <c r="G327" s="16"/>
      <c r="H327" s="16"/>
      <c r="J327" s="7"/>
      <c r="K327" s="6"/>
      <c r="L327" s="20"/>
      <c r="M327" s="22"/>
      <c r="N327" s="6"/>
    </row>
    <row r="328" spans="1:14" x14ac:dyDescent="0.3">
      <c r="A328">
        <v>325</v>
      </c>
      <c r="F328" s="16"/>
      <c r="G328" s="16"/>
      <c r="H328" s="16"/>
      <c r="J328" s="7"/>
      <c r="K328" s="6"/>
      <c r="L328" s="20"/>
      <c r="M328" s="22"/>
      <c r="N328" s="6"/>
    </row>
    <row r="329" spans="1:14" x14ac:dyDescent="0.3">
      <c r="A329">
        <v>326</v>
      </c>
      <c r="F329" s="16"/>
      <c r="G329" s="16"/>
      <c r="H329" s="16"/>
      <c r="J329" s="7"/>
      <c r="K329" s="6"/>
      <c r="L329" s="20"/>
      <c r="M329" s="22"/>
      <c r="N329" s="6"/>
    </row>
    <row r="330" spans="1:14" x14ac:dyDescent="0.3">
      <c r="A330">
        <v>327</v>
      </c>
      <c r="F330" s="16"/>
      <c r="G330" s="16"/>
      <c r="H330" s="16"/>
      <c r="J330" s="7"/>
      <c r="K330" s="6"/>
      <c r="L330" s="20"/>
      <c r="M330" s="22"/>
      <c r="N330" s="6"/>
    </row>
    <row r="331" spans="1:14" x14ac:dyDescent="0.3">
      <c r="A331">
        <v>328</v>
      </c>
      <c r="F331" s="16"/>
      <c r="G331" s="16"/>
      <c r="H331" s="16"/>
      <c r="J331" s="7"/>
      <c r="K331" s="6"/>
      <c r="L331" s="20"/>
      <c r="M331" s="22"/>
      <c r="N331" s="6"/>
    </row>
    <row r="332" spans="1:14" x14ac:dyDescent="0.3">
      <c r="A332">
        <v>329</v>
      </c>
      <c r="F332" s="16"/>
      <c r="G332" s="16"/>
      <c r="H332" s="16"/>
      <c r="J332" s="7"/>
      <c r="K332" s="6"/>
      <c r="L332" s="20"/>
      <c r="M332" s="22"/>
      <c r="N332" s="6"/>
    </row>
    <row r="333" spans="1:14" x14ac:dyDescent="0.3">
      <c r="A333">
        <v>330</v>
      </c>
      <c r="F333" s="16"/>
      <c r="G333" s="16"/>
      <c r="H333" s="16"/>
      <c r="J333" s="7"/>
      <c r="K333" s="6"/>
      <c r="L333" s="20"/>
      <c r="M333" s="22"/>
      <c r="N333" s="6"/>
    </row>
    <row r="334" spans="1:14" x14ac:dyDescent="0.3">
      <c r="A334">
        <v>331</v>
      </c>
      <c r="F334" s="16"/>
      <c r="G334" s="16"/>
      <c r="H334" s="16"/>
      <c r="J334" s="7"/>
      <c r="K334" s="6"/>
      <c r="L334" s="20"/>
      <c r="M334" s="22"/>
      <c r="N334" s="6"/>
    </row>
    <row r="335" spans="1:14" x14ac:dyDescent="0.3">
      <c r="A335">
        <v>332</v>
      </c>
      <c r="F335" s="16"/>
      <c r="G335" s="16"/>
      <c r="H335" s="16"/>
      <c r="J335" s="7"/>
      <c r="K335" s="6"/>
      <c r="L335" s="20"/>
      <c r="M335" s="22"/>
      <c r="N335" s="6"/>
    </row>
    <row r="336" spans="1:14" x14ac:dyDescent="0.3">
      <c r="A336">
        <v>333</v>
      </c>
      <c r="F336" s="16"/>
      <c r="G336" s="16"/>
      <c r="H336" s="16"/>
      <c r="J336" s="7"/>
      <c r="K336" s="6"/>
      <c r="L336" s="20"/>
      <c r="M336" s="22"/>
      <c r="N336" s="6"/>
    </row>
    <row r="337" spans="1:14" x14ac:dyDescent="0.3">
      <c r="A337">
        <v>334</v>
      </c>
      <c r="F337" s="16"/>
      <c r="G337" s="16"/>
      <c r="H337" s="16"/>
      <c r="J337" s="7"/>
      <c r="K337" s="6"/>
      <c r="L337" s="20"/>
      <c r="M337" s="22"/>
      <c r="N337" s="6"/>
    </row>
    <row r="338" spans="1:14" x14ac:dyDescent="0.3">
      <c r="A338">
        <v>335</v>
      </c>
      <c r="F338" s="16"/>
      <c r="G338" s="16"/>
      <c r="H338" s="16"/>
      <c r="J338" s="7"/>
      <c r="K338" s="6"/>
      <c r="L338" s="20"/>
      <c r="M338" s="22"/>
      <c r="N338" s="6"/>
    </row>
    <row r="339" spans="1:14" x14ac:dyDescent="0.3">
      <c r="A339">
        <v>336</v>
      </c>
      <c r="F339" s="16"/>
      <c r="G339" s="16"/>
      <c r="H339" s="16"/>
      <c r="J339" s="7"/>
      <c r="K339" s="6"/>
      <c r="L339" s="20"/>
      <c r="M339" s="22"/>
      <c r="N339" s="6"/>
    </row>
    <row r="340" spans="1:14" x14ac:dyDescent="0.3">
      <c r="A340">
        <v>337</v>
      </c>
      <c r="F340" s="16"/>
      <c r="G340" s="16"/>
      <c r="H340" s="16"/>
      <c r="J340" s="7"/>
      <c r="K340" s="6"/>
      <c r="L340" s="20"/>
      <c r="M340" s="22"/>
      <c r="N340" s="6"/>
    </row>
    <row r="341" spans="1:14" x14ac:dyDescent="0.3">
      <c r="A341">
        <v>338</v>
      </c>
      <c r="F341" s="16"/>
      <c r="G341" s="16"/>
      <c r="H341" s="16"/>
      <c r="J341" s="7"/>
      <c r="K341" s="6"/>
      <c r="L341" s="20"/>
      <c r="M341" s="22"/>
      <c r="N341" s="6"/>
    </row>
    <row r="342" spans="1:14" x14ac:dyDescent="0.3">
      <c r="A342">
        <v>339</v>
      </c>
      <c r="F342" s="16"/>
      <c r="G342" s="16"/>
      <c r="H342" s="16"/>
      <c r="J342" s="7"/>
      <c r="K342" s="6"/>
      <c r="L342" s="20"/>
      <c r="M342" s="22"/>
      <c r="N342" s="6"/>
    </row>
    <row r="343" spans="1:14" x14ac:dyDescent="0.3">
      <c r="A343">
        <v>340</v>
      </c>
      <c r="F343" s="16"/>
      <c r="G343" s="16"/>
      <c r="H343" s="16"/>
      <c r="J343" s="7"/>
      <c r="K343" s="6"/>
      <c r="L343" s="20"/>
      <c r="M343" s="22"/>
      <c r="N343" s="6"/>
    </row>
    <row r="344" spans="1:14" x14ac:dyDescent="0.3">
      <c r="A344">
        <v>341</v>
      </c>
      <c r="F344" s="16"/>
      <c r="G344" s="16"/>
      <c r="H344" s="16"/>
      <c r="J344" s="7"/>
      <c r="K344" s="6"/>
      <c r="L344" s="20"/>
      <c r="M344" s="22"/>
      <c r="N344" s="6"/>
    </row>
    <row r="345" spans="1:14" x14ac:dyDescent="0.3">
      <c r="A345">
        <v>342</v>
      </c>
      <c r="F345" s="16"/>
      <c r="G345" s="16"/>
      <c r="H345" s="16"/>
      <c r="J345" s="7"/>
      <c r="K345" s="6"/>
      <c r="L345" s="20"/>
      <c r="M345" s="22"/>
      <c r="N345" s="6"/>
    </row>
    <row r="346" spans="1:14" x14ac:dyDescent="0.3">
      <c r="A346">
        <v>343</v>
      </c>
      <c r="F346" s="16"/>
      <c r="G346" s="16"/>
      <c r="H346" s="16"/>
      <c r="J346" s="7"/>
      <c r="K346" s="6"/>
      <c r="L346" s="20"/>
      <c r="M346" s="22"/>
      <c r="N346" s="6"/>
    </row>
    <row r="347" spans="1:14" x14ac:dyDescent="0.3">
      <c r="A347">
        <v>344</v>
      </c>
      <c r="F347" s="16"/>
      <c r="G347" s="16"/>
      <c r="H347" s="16"/>
      <c r="J347" s="7"/>
      <c r="K347" s="6"/>
      <c r="L347" s="20"/>
      <c r="M347" s="22"/>
      <c r="N347" s="6"/>
    </row>
    <row r="348" spans="1:14" x14ac:dyDescent="0.3">
      <c r="A348">
        <v>345</v>
      </c>
      <c r="F348" s="16"/>
      <c r="G348" s="16"/>
      <c r="H348" s="16"/>
      <c r="J348" s="7"/>
      <c r="K348" s="6"/>
      <c r="L348" s="20"/>
      <c r="M348" s="22"/>
      <c r="N348" s="6"/>
    </row>
    <row r="349" spans="1:14" x14ac:dyDescent="0.3">
      <c r="A349">
        <v>346</v>
      </c>
      <c r="F349" s="16"/>
      <c r="G349" s="16"/>
      <c r="H349" s="16"/>
      <c r="J349" s="7"/>
      <c r="K349" s="6"/>
      <c r="L349" s="20"/>
      <c r="M349" s="22"/>
      <c r="N349" s="6"/>
    </row>
    <row r="350" spans="1:14" x14ac:dyDescent="0.3">
      <c r="A350">
        <v>347</v>
      </c>
      <c r="F350" s="16"/>
      <c r="G350" s="16"/>
      <c r="H350" s="16"/>
      <c r="J350" s="7"/>
      <c r="K350" s="6"/>
      <c r="L350" s="20"/>
      <c r="M350" s="22"/>
      <c r="N350" s="6"/>
    </row>
    <row r="351" spans="1:14" x14ac:dyDescent="0.3">
      <c r="A351">
        <v>348</v>
      </c>
      <c r="F351" s="16"/>
      <c r="G351" s="16"/>
      <c r="H351" s="16"/>
      <c r="J351" s="7"/>
      <c r="K351" s="6"/>
      <c r="L351" s="20"/>
      <c r="M351" s="22"/>
      <c r="N351" s="6"/>
    </row>
    <row r="352" spans="1:14" x14ac:dyDescent="0.3">
      <c r="A352">
        <v>349</v>
      </c>
      <c r="F352" s="16"/>
      <c r="G352" s="16"/>
      <c r="H352" s="16"/>
      <c r="J352" s="7"/>
      <c r="K352" s="6"/>
      <c r="L352" s="20"/>
      <c r="M352" s="22"/>
      <c r="N352" s="6"/>
    </row>
    <row r="353" spans="1:14" x14ac:dyDescent="0.3">
      <c r="A353">
        <v>350</v>
      </c>
      <c r="F353" s="16"/>
      <c r="G353" s="16"/>
      <c r="H353" s="16"/>
      <c r="J353" s="7"/>
      <c r="K353" s="6"/>
      <c r="L353" s="20"/>
      <c r="M353" s="22"/>
      <c r="N353" s="6"/>
    </row>
    <row r="354" spans="1:14" x14ac:dyDescent="0.3">
      <c r="A354">
        <v>351</v>
      </c>
      <c r="F354" s="16"/>
      <c r="G354" s="16"/>
      <c r="H354" s="16"/>
      <c r="J354" s="7"/>
      <c r="K354" s="6"/>
      <c r="L354" s="20"/>
      <c r="M354" s="22"/>
      <c r="N354" s="6"/>
    </row>
    <row r="355" spans="1:14" x14ac:dyDescent="0.3">
      <c r="A355">
        <v>352</v>
      </c>
      <c r="F355" s="16"/>
      <c r="G355" s="16"/>
      <c r="H355" s="16"/>
      <c r="J355" s="7"/>
      <c r="K355" s="6"/>
      <c r="L355" s="20"/>
      <c r="M355" s="22"/>
      <c r="N355" s="6"/>
    </row>
    <row r="356" spans="1:14" x14ac:dyDescent="0.3">
      <c r="A356">
        <v>353</v>
      </c>
      <c r="F356" s="16"/>
      <c r="G356" s="16"/>
      <c r="H356" s="16"/>
      <c r="J356" s="7"/>
      <c r="K356" s="6"/>
      <c r="L356" s="20"/>
      <c r="M356" s="22"/>
      <c r="N356" s="6"/>
    </row>
    <row r="357" spans="1:14" x14ac:dyDescent="0.3">
      <c r="A357">
        <v>354</v>
      </c>
      <c r="F357" s="16"/>
      <c r="G357" s="16"/>
      <c r="H357" s="16"/>
      <c r="J357" s="7"/>
      <c r="K357" s="6"/>
      <c r="L357" s="20"/>
      <c r="M357" s="22"/>
      <c r="N357" s="6"/>
    </row>
    <row r="358" spans="1:14" x14ac:dyDescent="0.3">
      <c r="A358">
        <v>355</v>
      </c>
      <c r="F358" s="16"/>
      <c r="G358" s="16"/>
      <c r="H358" s="16"/>
      <c r="J358" s="7"/>
      <c r="K358" s="6"/>
      <c r="L358" s="20"/>
      <c r="M358" s="22"/>
      <c r="N358" s="6"/>
    </row>
    <row r="359" spans="1:14" x14ac:dyDescent="0.3">
      <c r="A359">
        <v>356</v>
      </c>
      <c r="F359" s="16"/>
      <c r="G359" s="16"/>
      <c r="H359" s="16"/>
      <c r="J359" s="7"/>
      <c r="K359" s="6"/>
      <c r="L359" s="20"/>
      <c r="M359" s="22"/>
      <c r="N359" s="6"/>
    </row>
    <row r="360" spans="1:14" x14ac:dyDescent="0.3">
      <c r="A360">
        <v>357</v>
      </c>
      <c r="F360" s="16"/>
      <c r="G360" s="16"/>
      <c r="H360" s="16"/>
      <c r="J360" s="7"/>
      <c r="K360" s="6"/>
      <c r="L360" s="20"/>
      <c r="M360" s="22"/>
      <c r="N360" s="6"/>
    </row>
    <row r="361" spans="1:14" x14ac:dyDescent="0.3">
      <c r="A361">
        <v>358</v>
      </c>
      <c r="F361" s="16"/>
      <c r="G361" s="16"/>
      <c r="H361" s="16"/>
      <c r="J361" s="7"/>
      <c r="K361" s="6"/>
      <c r="L361" s="20"/>
      <c r="M361" s="22"/>
      <c r="N361" s="6"/>
    </row>
    <row r="362" spans="1:14" x14ac:dyDescent="0.3">
      <c r="A362">
        <v>359</v>
      </c>
      <c r="F362" s="16"/>
      <c r="G362" s="16"/>
      <c r="H362" s="16"/>
      <c r="J362" s="7"/>
      <c r="K362" s="6"/>
      <c r="L362" s="20"/>
      <c r="M362" s="22"/>
      <c r="N362" s="6"/>
    </row>
    <row r="363" spans="1:14" x14ac:dyDescent="0.3">
      <c r="A363">
        <v>360</v>
      </c>
      <c r="F363" s="16"/>
      <c r="G363" s="16"/>
      <c r="H363" s="16"/>
      <c r="J363" s="7"/>
      <c r="K363" s="6"/>
      <c r="L363" s="20"/>
      <c r="M363" s="22"/>
      <c r="N363" s="6"/>
    </row>
    <row r="364" spans="1:14" x14ac:dyDescent="0.3">
      <c r="A364">
        <v>361</v>
      </c>
      <c r="F364" s="16"/>
      <c r="G364" s="16"/>
      <c r="H364" s="16"/>
      <c r="J364" s="7"/>
      <c r="K364" s="6"/>
      <c r="L364" s="20"/>
      <c r="M364" s="22"/>
      <c r="N364" s="6"/>
    </row>
    <row r="365" spans="1:14" x14ac:dyDescent="0.3">
      <c r="A365">
        <v>362</v>
      </c>
      <c r="F365" s="16"/>
      <c r="G365" s="16"/>
      <c r="H365" s="16"/>
      <c r="J365" s="7"/>
      <c r="K365" s="6"/>
      <c r="L365" s="20"/>
      <c r="M365" s="22"/>
      <c r="N365" s="6"/>
    </row>
    <row r="366" spans="1:14" x14ac:dyDescent="0.3">
      <c r="A366">
        <v>363</v>
      </c>
      <c r="F366" s="16"/>
      <c r="G366" s="16"/>
      <c r="H366" s="16"/>
      <c r="J366" s="7"/>
      <c r="K366" s="6"/>
      <c r="L366" s="20"/>
      <c r="M366" s="22"/>
      <c r="N366" s="6"/>
    </row>
    <row r="367" spans="1:14" x14ac:dyDescent="0.3">
      <c r="A367">
        <v>364</v>
      </c>
      <c r="F367" s="16"/>
      <c r="G367" s="16"/>
      <c r="H367" s="16"/>
      <c r="J367" s="7"/>
      <c r="K367" s="6"/>
      <c r="L367" s="20"/>
      <c r="M367" s="22"/>
      <c r="N367" s="6"/>
    </row>
    <row r="368" spans="1:14" x14ac:dyDescent="0.3">
      <c r="A368">
        <v>365</v>
      </c>
      <c r="F368" s="16"/>
      <c r="G368" s="16"/>
      <c r="H368" s="16"/>
      <c r="J368" s="7"/>
      <c r="K368" s="6"/>
      <c r="L368" s="20"/>
      <c r="M368" s="22"/>
      <c r="N368" s="6"/>
    </row>
    <row r="369" spans="1:14" x14ac:dyDescent="0.3">
      <c r="A369">
        <v>366</v>
      </c>
      <c r="F369" s="16"/>
      <c r="G369" s="16"/>
      <c r="H369" s="16"/>
      <c r="J369" s="7"/>
      <c r="K369" s="6"/>
      <c r="L369" s="20"/>
      <c r="M369" s="22"/>
      <c r="N369" s="6"/>
    </row>
    <row r="370" spans="1:14" x14ac:dyDescent="0.3">
      <c r="A370">
        <v>367</v>
      </c>
      <c r="F370" s="16"/>
      <c r="G370" s="16"/>
      <c r="H370" s="16"/>
      <c r="J370" s="7"/>
      <c r="K370" s="6"/>
      <c r="L370" s="20"/>
      <c r="M370" s="22"/>
      <c r="N370" s="6"/>
    </row>
    <row r="371" spans="1:14" x14ac:dyDescent="0.3">
      <c r="A371">
        <v>368</v>
      </c>
      <c r="F371" s="16"/>
      <c r="G371" s="16"/>
      <c r="H371" s="16"/>
      <c r="J371" s="7"/>
      <c r="K371" s="6"/>
      <c r="L371" s="20"/>
      <c r="M371" s="22"/>
      <c r="N371" s="6"/>
    </row>
    <row r="372" spans="1:14" x14ac:dyDescent="0.3">
      <c r="A372">
        <v>369</v>
      </c>
      <c r="F372" s="16"/>
      <c r="G372" s="16"/>
      <c r="H372" s="16"/>
      <c r="J372" s="7"/>
      <c r="K372" s="6"/>
      <c r="L372" s="20"/>
      <c r="M372" s="22"/>
      <c r="N372" s="6"/>
    </row>
    <row r="373" spans="1:14" x14ac:dyDescent="0.3">
      <c r="A373">
        <v>370</v>
      </c>
      <c r="F373" s="16"/>
      <c r="G373" s="16"/>
      <c r="H373" s="16"/>
      <c r="J373" s="7"/>
      <c r="K373" s="6"/>
      <c r="L373" s="20"/>
      <c r="M373" s="22"/>
      <c r="N373" s="6"/>
    </row>
    <row r="374" spans="1:14" x14ac:dyDescent="0.3">
      <c r="A374">
        <v>371</v>
      </c>
      <c r="F374" s="16"/>
      <c r="G374" s="16"/>
      <c r="H374" s="16"/>
      <c r="J374" s="7"/>
      <c r="K374" s="6"/>
      <c r="L374" s="20"/>
      <c r="M374" s="22"/>
      <c r="N374" s="6"/>
    </row>
    <row r="375" spans="1:14" x14ac:dyDescent="0.3">
      <c r="A375">
        <v>372</v>
      </c>
      <c r="F375" s="16"/>
      <c r="G375" s="16"/>
      <c r="H375" s="16"/>
      <c r="J375" s="7"/>
      <c r="K375" s="6"/>
      <c r="L375" s="20"/>
      <c r="M375" s="22"/>
      <c r="N375" s="6"/>
    </row>
    <row r="376" spans="1:14" x14ac:dyDescent="0.3">
      <c r="A376">
        <v>373</v>
      </c>
      <c r="F376" s="16"/>
      <c r="G376" s="16"/>
      <c r="H376" s="16"/>
      <c r="J376" s="7"/>
      <c r="K376" s="6"/>
      <c r="L376" s="20"/>
      <c r="M376" s="22"/>
      <c r="N376" s="6"/>
    </row>
    <row r="377" spans="1:14" x14ac:dyDescent="0.3">
      <c r="A377">
        <v>374</v>
      </c>
      <c r="F377" s="16"/>
      <c r="G377" s="16"/>
      <c r="H377" s="16"/>
      <c r="J377" s="7"/>
      <c r="K377" s="6"/>
      <c r="L377" s="20"/>
      <c r="M377" s="22"/>
      <c r="N377" s="6"/>
    </row>
    <row r="378" spans="1:14" x14ac:dyDescent="0.3">
      <c r="A378">
        <v>375</v>
      </c>
      <c r="F378" s="16"/>
      <c r="G378" s="16"/>
      <c r="H378" s="16"/>
      <c r="J378" s="7"/>
      <c r="K378" s="6"/>
      <c r="L378" s="20"/>
      <c r="M378" s="22"/>
      <c r="N378" s="6"/>
    </row>
    <row r="379" spans="1:14" x14ac:dyDescent="0.3">
      <c r="A379">
        <v>376</v>
      </c>
      <c r="F379" s="16"/>
      <c r="G379" s="16"/>
      <c r="H379" s="16"/>
      <c r="J379" s="7"/>
      <c r="K379" s="6"/>
      <c r="L379" s="20"/>
      <c r="M379" s="22"/>
      <c r="N379" s="6"/>
    </row>
    <row r="380" spans="1:14" x14ac:dyDescent="0.3">
      <c r="A380">
        <v>377</v>
      </c>
      <c r="F380" s="16"/>
      <c r="G380" s="16"/>
      <c r="H380" s="16"/>
      <c r="J380" s="7"/>
      <c r="K380" s="6"/>
      <c r="L380" s="20"/>
      <c r="M380" s="22"/>
      <c r="N380" s="6"/>
    </row>
    <row r="381" spans="1:14" x14ac:dyDescent="0.3">
      <c r="A381">
        <v>378</v>
      </c>
      <c r="F381" s="16"/>
      <c r="G381" s="16"/>
      <c r="H381" s="16"/>
      <c r="J381" s="7"/>
      <c r="K381" s="6"/>
      <c r="L381" s="20"/>
      <c r="M381" s="22"/>
      <c r="N381" s="6"/>
    </row>
    <row r="382" spans="1:14" x14ac:dyDescent="0.3">
      <c r="A382">
        <v>379</v>
      </c>
      <c r="F382" s="16"/>
      <c r="G382" s="16"/>
      <c r="H382" s="16"/>
      <c r="J382" s="7"/>
      <c r="K382" s="6"/>
      <c r="L382" s="20"/>
      <c r="M382" s="22"/>
      <c r="N382" s="6"/>
    </row>
    <row r="383" spans="1:14" x14ac:dyDescent="0.3">
      <c r="A383">
        <v>380</v>
      </c>
      <c r="F383" s="16"/>
      <c r="G383" s="16"/>
      <c r="H383" s="16"/>
      <c r="J383" s="7"/>
      <c r="K383" s="6"/>
      <c r="L383" s="20"/>
      <c r="M383" s="22"/>
      <c r="N383" s="6"/>
    </row>
    <row r="384" spans="1:14" x14ac:dyDescent="0.3">
      <c r="A384">
        <v>381</v>
      </c>
      <c r="F384" s="16"/>
      <c r="G384" s="16"/>
      <c r="H384" s="16"/>
      <c r="J384" s="7"/>
      <c r="K384" s="6"/>
      <c r="L384" s="20"/>
      <c r="M384" s="22"/>
      <c r="N384" s="6"/>
    </row>
    <row r="385" spans="1:14" x14ac:dyDescent="0.3">
      <c r="A385">
        <v>382</v>
      </c>
      <c r="F385" s="16"/>
      <c r="G385" s="16"/>
      <c r="H385" s="16"/>
      <c r="J385" s="7"/>
      <c r="K385" s="6"/>
      <c r="L385" s="20"/>
      <c r="M385" s="22"/>
      <c r="N385" s="6"/>
    </row>
    <row r="386" spans="1:14" x14ac:dyDescent="0.3">
      <c r="A386">
        <v>383</v>
      </c>
      <c r="F386" s="16"/>
      <c r="G386" s="16"/>
      <c r="H386" s="16"/>
      <c r="J386" s="7"/>
      <c r="K386" s="6"/>
      <c r="L386" s="20"/>
      <c r="M386" s="22"/>
      <c r="N386" s="6"/>
    </row>
    <row r="387" spans="1:14" x14ac:dyDescent="0.3">
      <c r="A387">
        <v>384</v>
      </c>
      <c r="F387" s="16"/>
      <c r="G387" s="16"/>
      <c r="H387" s="16"/>
      <c r="J387" s="7"/>
      <c r="K387" s="6"/>
      <c r="L387" s="20"/>
      <c r="M387" s="22"/>
      <c r="N387" s="6"/>
    </row>
    <row r="388" spans="1:14" x14ac:dyDescent="0.3">
      <c r="A388">
        <v>385</v>
      </c>
      <c r="F388" s="16"/>
      <c r="G388" s="16"/>
      <c r="H388" s="16"/>
      <c r="J388" s="7"/>
      <c r="K388" s="6"/>
      <c r="L388" s="20"/>
      <c r="M388" s="22"/>
      <c r="N388" s="6"/>
    </row>
    <row r="389" spans="1:14" x14ac:dyDescent="0.3">
      <c r="A389">
        <v>386</v>
      </c>
      <c r="F389" s="16"/>
      <c r="G389" s="16"/>
      <c r="H389" s="16"/>
      <c r="J389" s="7"/>
      <c r="K389" s="6"/>
      <c r="L389" s="20"/>
      <c r="M389" s="22"/>
      <c r="N389" s="6"/>
    </row>
    <row r="390" spans="1:14" x14ac:dyDescent="0.3">
      <c r="A390">
        <v>387</v>
      </c>
      <c r="F390" s="16"/>
      <c r="G390" s="16"/>
      <c r="H390" s="16"/>
      <c r="J390" s="7"/>
      <c r="K390" s="6"/>
      <c r="L390" s="20"/>
      <c r="M390" s="22"/>
      <c r="N390" s="6"/>
    </row>
    <row r="391" spans="1:14" x14ac:dyDescent="0.3">
      <c r="A391">
        <v>388</v>
      </c>
      <c r="F391" s="16"/>
      <c r="G391" s="16"/>
      <c r="H391" s="16"/>
      <c r="J391" s="7"/>
      <c r="K391" s="6"/>
      <c r="L391" s="20"/>
      <c r="M391" s="22"/>
      <c r="N391" s="6"/>
    </row>
    <row r="392" spans="1:14" x14ac:dyDescent="0.3">
      <c r="A392">
        <v>389</v>
      </c>
      <c r="F392" s="16"/>
      <c r="G392" s="16"/>
      <c r="H392" s="16"/>
      <c r="J392" s="7"/>
      <c r="K392" s="6"/>
      <c r="L392" s="20"/>
      <c r="M392" s="22"/>
      <c r="N392" s="6"/>
    </row>
    <row r="393" spans="1:14" x14ac:dyDescent="0.3">
      <c r="A393">
        <v>390</v>
      </c>
      <c r="F393" s="16"/>
      <c r="G393" s="16"/>
      <c r="H393" s="16"/>
      <c r="J393" s="7"/>
      <c r="K393" s="6"/>
      <c r="L393" s="20"/>
      <c r="M393" s="22"/>
      <c r="N393" s="6"/>
    </row>
    <row r="394" spans="1:14" x14ac:dyDescent="0.3">
      <c r="A394">
        <v>391</v>
      </c>
      <c r="F394" s="16"/>
      <c r="G394" s="16"/>
      <c r="H394" s="16"/>
      <c r="J394" s="7"/>
      <c r="K394" s="6"/>
      <c r="L394" s="20"/>
      <c r="M394" s="22"/>
      <c r="N394" s="6"/>
    </row>
    <row r="395" spans="1:14" x14ac:dyDescent="0.3">
      <c r="A395">
        <v>392</v>
      </c>
      <c r="F395" s="16"/>
      <c r="G395" s="16"/>
      <c r="H395" s="16"/>
      <c r="J395" s="7"/>
      <c r="K395" s="6"/>
      <c r="L395" s="20"/>
      <c r="M395" s="22"/>
      <c r="N395" s="6"/>
    </row>
    <row r="396" spans="1:14" x14ac:dyDescent="0.3">
      <c r="A396">
        <v>393</v>
      </c>
      <c r="F396" s="16"/>
      <c r="G396" s="16"/>
      <c r="H396" s="16"/>
      <c r="J396" s="7"/>
      <c r="K396" s="6"/>
      <c r="L396" s="20"/>
      <c r="M396" s="22"/>
      <c r="N396" s="6"/>
    </row>
    <row r="397" spans="1:14" x14ac:dyDescent="0.3">
      <c r="A397">
        <v>394</v>
      </c>
      <c r="F397" s="16"/>
      <c r="G397" s="16"/>
      <c r="H397" s="16"/>
      <c r="J397" s="7"/>
      <c r="K397" s="6"/>
      <c r="L397" s="20"/>
      <c r="M397" s="22"/>
      <c r="N397" s="6"/>
    </row>
    <row r="398" spans="1:14" x14ac:dyDescent="0.3">
      <c r="A398">
        <v>395</v>
      </c>
      <c r="F398" s="16"/>
      <c r="G398" s="16"/>
      <c r="H398" s="16"/>
      <c r="J398" s="7"/>
      <c r="K398" s="6"/>
      <c r="L398" s="20"/>
      <c r="M398" s="22"/>
      <c r="N398" s="6"/>
    </row>
    <row r="399" spans="1:14" x14ac:dyDescent="0.3">
      <c r="A399">
        <v>396</v>
      </c>
      <c r="F399" s="16"/>
      <c r="G399" s="16"/>
      <c r="H399" s="16"/>
      <c r="J399" s="7"/>
      <c r="K399" s="6"/>
      <c r="L399" s="20"/>
      <c r="M399" s="22"/>
      <c r="N399" s="6"/>
    </row>
    <row r="400" spans="1:14" x14ac:dyDescent="0.3">
      <c r="A400">
        <v>397</v>
      </c>
      <c r="F400" s="16"/>
      <c r="G400" s="16"/>
      <c r="H400" s="16"/>
      <c r="J400" s="7"/>
      <c r="K400" s="6"/>
      <c r="L400" s="20"/>
      <c r="M400" s="22"/>
      <c r="N400" s="6"/>
    </row>
    <row r="401" spans="1:14" x14ac:dyDescent="0.3">
      <c r="A401">
        <v>398</v>
      </c>
      <c r="F401" s="16"/>
      <c r="G401" s="16"/>
      <c r="H401" s="16"/>
      <c r="J401" s="7"/>
      <c r="K401" s="6"/>
      <c r="L401" s="20"/>
      <c r="M401" s="22"/>
      <c r="N401" s="6"/>
    </row>
    <row r="402" spans="1:14" x14ac:dyDescent="0.3">
      <c r="F402" s="16"/>
      <c r="G402" s="16"/>
      <c r="H402" s="16"/>
      <c r="J402" s="7"/>
      <c r="K402" s="6"/>
      <c r="L402" s="20"/>
      <c r="M402" s="22"/>
      <c r="N402" s="6"/>
    </row>
    <row r="403" spans="1:14" x14ac:dyDescent="0.3">
      <c r="F403" s="16"/>
      <c r="G403" s="16"/>
      <c r="H403" s="16"/>
      <c r="J403" s="7"/>
      <c r="K403" s="6"/>
      <c r="L403" s="20"/>
      <c r="M403" s="22"/>
      <c r="N403" s="6"/>
    </row>
    <row r="404" spans="1:14" x14ac:dyDescent="0.3">
      <c r="F404" s="16"/>
      <c r="G404" s="16"/>
      <c r="H404" s="16"/>
      <c r="J404" s="7"/>
      <c r="K404" s="6"/>
      <c r="L404" s="20"/>
      <c r="M404" s="22"/>
      <c r="N404" s="6"/>
    </row>
    <row r="405" spans="1:14" x14ac:dyDescent="0.3">
      <c r="F405" s="16"/>
      <c r="G405" s="16"/>
      <c r="H405" s="16"/>
      <c r="J405" s="7"/>
      <c r="K405" s="6"/>
      <c r="L405" s="20"/>
      <c r="M405" s="22"/>
      <c r="N405" s="6"/>
    </row>
    <row r="406" spans="1:14" x14ac:dyDescent="0.3">
      <c r="F406" s="16"/>
      <c r="G406" s="16"/>
      <c r="H406" s="16"/>
      <c r="J406" s="7"/>
      <c r="K406" s="6"/>
      <c r="L406" s="20"/>
      <c r="M406" s="22"/>
      <c r="N406" s="6"/>
    </row>
    <row r="407" spans="1:14" x14ac:dyDescent="0.3">
      <c r="F407" s="16"/>
      <c r="G407" s="16"/>
      <c r="H407" s="16"/>
      <c r="J407" s="7"/>
      <c r="K407" s="6"/>
      <c r="L407" s="20"/>
      <c r="M407" s="22"/>
      <c r="N407" s="6"/>
    </row>
    <row r="408" spans="1:14" x14ac:dyDescent="0.3">
      <c r="F408" s="16"/>
      <c r="G408" s="16"/>
      <c r="H408" s="16"/>
      <c r="J408" s="7"/>
      <c r="K408" s="6"/>
      <c r="L408" s="20"/>
      <c r="M408" s="22"/>
      <c r="N408" s="6"/>
    </row>
    <row r="409" spans="1:14" x14ac:dyDescent="0.3">
      <c r="F409" s="16"/>
      <c r="G409" s="16"/>
      <c r="H409" s="16"/>
      <c r="J409" s="7"/>
      <c r="K409" s="6"/>
      <c r="L409" s="20"/>
      <c r="M409" s="22"/>
      <c r="N409" s="6"/>
    </row>
    <row r="410" spans="1:14" x14ac:dyDescent="0.3">
      <c r="F410" s="16"/>
      <c r="G410" s="16"/>
      <c r="H410" s="16"/>
      <c r="J410" s="7"/>
      <c r="K410" s="6"/>
      <c r="L410" s="20"/>
      <c r="M410" s="22"/>
      <c r="N410" s="6"/>
    </row>
    <row r="411" spans="1:14" x14ac:dyDescent="0.3">
      <c r="F411" s="16"/>
      <c r="G411" s="16"/>
      <c r="H411" s="16"/>
      <c r="J411" s="7"/>
      <c r="K411" s="6"/>
      <c r="L411" s="20"/>
      <c r="M411" s="22"/>
      <c r="N411" s="6"/>
    </row>
    <row r="412" spans="1:14" x14ac:dyDescent="0.3">
      <c r="F412" s="16"/>
      <c r="G412" s="16"/>
      <c r="H412" s="16"/>
      <c r="J412" s="7"/>
      <c r="K412" s="6"/>
      <c r="L412" s="20"/>
      <c r="M412" s="22"/>
      <c r="N412" s="6"/>
    </row>
    <row r="413" spans="1:14" x14ac:dyDescent="0.3">
      <c r="F413" s="16"/>
      <c r="G413" s="16"/>
      <c r="H413" s="16"/>
      <c r="J413" s="7"/>
      <c r="K413" s="6"/>
      <c r="L413" s="20"/>
      <c r="M413" s="22"/>
      <c r="N413" s="6"/>
    </row>
    <row r="414" spans="1:14" x14ac:dyDescent="0.3">
      <c r="F414" s="16"/>
      <c r="G414" s="16"/>
      <c r="H414" s="16"/>
      <c r="J414" s="7"/>
      <c r="K414" s="6"/>
      <c r="L414" s="20"/>
      <c r="M414" s="22"/>
      <c r="N414" s="6"/>
    </row>
    <row r="415" spans="1:14" x14ac:dyDescent="0.3">
      <c r="F415" s="16"/>
      <c r="G415" s="16"/>
      <c r="H415" s="16"/>
      <c r="J415" s="7"/>
      <c r="K415" s="6"/>
      <c r="L415" s="20"/>
      <c r="M415" s="22"/>
      <c r="N415" s="6"/>
    </row>
    <row r="416" spans="1:14" x14ac:dyDescent="0.3">
      <c r="F416" s="16"/>
      <c r="G416" s="16"/>
      <c r="H416" s="16"/>
      <c r="J416" s="7"/>
      <c r="K416" s="6"/>
      <c r="L416" s="20"/>
      <c r="M416" s="22"/>
      <c r="N416" s="6"/>
    </row>
    <row r="417" spans="6:14" x14ac:dyDescent="0.3">
      <c r="F417" s="16"/>
      <c r="G417" s="16"/>
      <c r="H417" s="16"/>
      <c r="J417" s="7"/>
      <c r="K417" s="6"/>
      <c r="L417" s="20"/>
      <c r="M417" s="22"/>
      <c r="N417" s="6"/>
    </row>
    <row r="418" spans="6:14" x14ac:dyDescent="0.3">
      <c r="F418" s="16"/>
      <c r="G418" s="16"/>
      <c r="H418" s="16"/>
      <c r="J418" s="7"/>
      <c r="K418" s="6"/>
      <c r="L418" s="20"/>
      <c r="M418" s="22"/>
      <c r="N418" s="6"/>
    </row>
    <row r="419" spans="6:14" x14ac:dyDescent="0.3">
      <c r="F419" s="16"/>
      <c r="G419" s="16"/>
      <c r="H419" s="16"/>
      <c r="J419" s="7"/>
      <c r="K419" s="6"/>
      <c r="L419" s="20"/>
      <c r="M419" s="22"/>
      <c r="N419" s="6"/>
    </row>
    <row r="420" spans="6:14" x14ac:dyDescent="0.3">
      <c r="F420" s="16"/>
      <c r="G420" s="16"/>
      <c r="H420" s="16"/>
      <c r="J420" s="7"/>
      <c r="K420" s="6"/>
      <c r="L420" s="20"/>
      <c r="M420" s="22"/>
      <c r="N420" s="6"/>
    </row>
    <row r="421" spans="6:14" x14ac:dyDescent="0.3">
      <c r="F421" s="16"/>
      <c r="G421" s="16"/>
      <c r="H421" s="16"/>
      <c r="J421" s="7"/>
      <c r="K421" s="6"/>
      <c r="L421" s="20"/>
      <c r="M421" s="22"/>
      <c r="N421" s="6"/>
    </row>
    <row r="422" spans="6:14" x14ac:dyDescent="0.3">
      <c r="F422" s="16"/>
      <c r="G422" s="16"/>
      <c r="H422" s="16"/>
      <c r="J422" s="7"/>
      <c r="K422" s="6"/>
      <c r="L422" s="20"/>
      <c r="M422" s="22"/>
      <c r="N422" s="6"/>
    </row>
    <row r="423" spans="6:14" x14ac:dyDescent="0.3">
      <c r="F423" s="16"/>
      <c r="G423" s="16"/>
      <c r="H423" s="16"/>
      <c r="J423" s="7"/>
      <c r="K423" s="6"/>
      <c r="L423" s="20"/>
      <c r="M423" s="22"/>
      <c r="N423" s="6"/>
    </row>
    <row r="424" spans="6:14" x14ac:dyDescent="0.3">
      <c r="F424" s="16"/>
      <c r="G424" s="16"/>
      <c r="H424" s="16"/>
      <c r="J424" s="7"/>
      <c r="K424" s="6"/>
      <c r="L424" s="20"/>
      <c r="M424" s="22"/>
      <c r="N424" s="6"/>
    </row>
    <row r="425" spans="6:14" x14ac:dyDescent="0.3">
      <c r="F425" s="16"/>
      <c r="G425" s="16"/>
      <c r="H425" s="16"/>
      <c r="J425" s="7"/>
      <c r="K425" s="6"/>
      <c r="L425" s="20"/>
      <c r="M425" s="22"/>
      <c r="N425" s="6"/>
    </row>
    <row r="426" spans="6:14" x14ac:dyDescent="0.3">
      <c r="F426" s="16"/>
      <c r="G426" s="16"/>
      <c r="H426" s="16"/>
      <c r="J426" s="7"/>
      <c r="K426" s="6"/>
      <c r="L426" s="20"/>
      <c r="M426" s="22"/>
      <c r="N426" s="6"/>
    </row>
    <row r="427" spans="6:14" x14ac:dyDescent="0.3">
      <c r="F427" s="16"/>
      <c r="G427" s="16"/>
      <c r="H427" s="16"/>
      <c r="J427" s="7"/>
      <c r="K427" s="6"/>
      <c r="L427" s="20"/>
      <c r="M427" s="22"/>
      <c r="N427" s="6"/>
    </row>
    <row r="428" spans="6:14" x14ac:dyDescent="0.3">
      <c r="F428" s="16"/>
      <c r="G428" s="16"/>
      <c r="H428" s="16"/>
      <c r="J428" s="7"/>
      <c r="K428" s="6"/>
      <c r="L428" s="20"/>
      <c r="M428" s="22"/>
      <c r="N428" s="6"/>
    </row>
    <row r="429" spans="6:14" x14ac:dyDescent="0.3">
      <c r="F429" s="16"/>
      <c r="G429" s="16"/>
      <c r="H429" s="16"/>
      <c r="J429" s="7"/>
      <c r="K429" s="6"/>
      <c r="L429" s="20"/>
      <c r="M429" s="22"/>
      <c r="N429" s="6"/>
    </row>
    <row r="430" spans="6:14" x14ac:dyDescent="0.3">
      <c r="F430" s="16"/>
      <c r="G430" s="16"/>
      <c r="H430" s="16"/>
      <c r="J430" s="7"/>
      <c r="K430" s="6"/>
      <c r="L430" s="20"/>
      <c r="M430" s="22"/>
      <c r="N430" s="6"/>
    </row>
    <row r="431" spans="6:14" x14ac:dyDescent="0.3">
      <c r="F431" s="16"/>
      <c r="G431" s="16"/>
      <c r="H431" s="16"/>
      <c r="J431" s="7"/>
      <c r="K431" s="6"/>
      <c r="L431" s="20"/>
      <c r="M431" s="22"/>
      <c r="N431" s="6"/>
    </row>
    <row r="432" spans="6:14" x14ac:dyDescent="0.3">
      <c r="F432" s="16"/>
      <c r="G432" s="16"/>
      <c r="H432" s="16"/>
      <c r="J432" s="7"/>
      <c r="K432" s="6"/>
      <c r="L432" s="20"/>
      <c r="M432" s="22"/>
      <c r="N432" s="6"/>
    </row>
    <row r="433" spans="6:14" x14ac:dyDescent="0.3">
      <c r="F433" s="16"/>
      <c r="G433" s="16"/>
      <c r="H433" s="16"/>
      <c r="J433" s="7"/>
      <c r="K433" s="6"/>
      <c r="L433" s="20"/>
      <c r="M433" s="22"/>
      <c r="N433" s="6"/>
    </row>
    <row r="434" spans="6:14" x14ac:dyDescent="0.3">
      <c r="F434" s="16"/>
      <c r="G434" s="16"/>
      <c r="H434" s="16"/>
      <c r="J434" s="7"/>
      <c r="K434" s="6"/>
      <c r="L434" s="20"/>
      <c r="M434" s="22"/>
      <c r="N434" s="6"/>
    </row>
    <row r="435" spans="6:14" x14ac:dyDescent="0.3">
      <c r="F435" s="16"/>
      <c r="G435" s="16"/>
      <c r="H435" s="16"/>
      <c r="J435" s="7"/>
      <c r="K435" s="6"/>
      <c r="L435" s="20"/>
      <c r="M435" s="22"/>
      <c r="N435" s="6"/>
    </row>
    <row r="436" spans="6:14" x14ac:dyDescent="0.3">
      <c r="F436" s="16"/>
      <c r="G436" s="16"/>
      <c r="H436" s="16"/>
      <c r="J436" s="7"/>
      <c r="K436" s="6"/>
      <c r="L436" s="20"/>
      <c r="M436" s="22"/>
      <c r="N436" s="6"/>
    </row>
    <row r="437" spans="6:14" x14ac:dyDescent="0.3">
      <c r="F437" s="16"/>
      <c r="G437" s="16"/>
      <c r="H437" s="16"/>
      <c r="J437" s="7"/>
      <c r="K437" s="6"/>
      <c r="L437" s="20"/>
      <c r="M437" s="22"/>
      <c r="N437" s="6"/>
    </row>
    <row r="438" spans="6:14" x14ac:dyDescent="0.3">
      <c r="F438" s="16"/>
      <c r="G438" s="16"/>
      <c r="H438" s="16"/>
      <c r="J438" s="7"/>
      <c r="K438" s="6"/>
      <c r="L438" s="20"/>
      <c r="M438" s="22"/>
      <c r="N438" s="6"/>
    </row>
    <row r="439" spans="6:14" x14ac:dyDescent="0.3">
      <c r="F439" s="16"/>
      <c r="G439" s="16"/>
      <c r="H439" s="16"/>
      <c r="J439" s="7"/>
      <c r="K439" s="6"/>
      <c r="L439" s="20"/>
      <c r="M439" s="22"/>
      <c r="N439" s="6"/>
    </row>
    <row r="440" spans="6:14" x14ac:dyDescent="0.3">
      <c r="F440" s="16"/>
      <c r="G440" s="16"/>
      <c r="H440" s="16"/>
      <c r="J440" s="7"/>
      <c r="K440" s="6"/>
      <c r="L440" s="20"/>
      <c r="M440" s="22"/>
      <c r="N440" s="6"/>
    </row>
    <row r="441" spans="6:14" x14ac:dyDescent="0.3">
      <c r="F441" s="16"/>
      <c r="G441" s="16"/>
      <c r="H441" s="16"/>
      <c r="J441" s="7"/>
      <c r="K441" s="6"/>
      <c r="L441" s="20"/>
      <c r="M441" s="22"/>
      <c r="N441" s="6"/>
    </row>
    <row r="442" spans="6:14" x14ac:dyDescent="0.3">
      <c r="F442" s="16"/>
      <c r="G442" s="16"/>
      <c r="H442" s="16"/>
      <c r="J442" s="7"/>
      <c r="K442" s="6"/>
      <c r="L442" s="20"/>
      <c r="M442" s="22"/>
      <c r="N442" s="6"/>
    </row>
    <row r="443" spans="6:14" x14ac:dyDescent="0.3">
      <c r="F443" s="16"/>
      <c r="G443" s="16"/>
      <c r="H443" s="16"/>
      <c r="J443" s="7"/>
      <c r="K443" s="6"/>
      <c r="L443" s="20"/>
      <c r="M443" s="22"/>
      <c r="N443" s="6"/>
    </row>
    <row r="444" spans="6:14" x14ac:dyDescent="0.3">
      <c r="F444" s="16"/>
      <c r="G444" s="16"/>
      <c r="H444" s="16"/>
      <c r="J444" s="7"/>
      <c r="K444" s="6"/>
      <c r="L444" s="20"/>
      <c r="M444" s="22"/>
      <c r="N444" s="6"/>
    </row>
    <row r="445" spans="6:14" x14ac:dyDescent="0.3">
      <c r="F445" s="16"/>
      <c r="G445" s="16"/>
      <c r="H445" s="16"/>
      <c r="J445" s="7"/>
      <c r="K445" s="6"/>
      <c r="L445" s="20"/>
      <c r="M445" s="22"/>
      <c r="N445" s="6"/>
    </row>
    <row r="446" spans="6:14" x14ac:dyDescent="0.3">
      <c r="F446" s="16"/>
      <c r="G446" s="16"/>
      <c r="H446" s="16"/>
      <c r="J446" s="7"/>
      <c r="K446" s="6"/>
      <c r="L446" s="20"/>
      <c r="M446" s="22"/>
      <c r="N446" s="6"/>
    </row>
    <row r="447" spans="6:14" x14ac:dyDescent="0.3">
      <c r="F447" s="16"/>
      <c r="G447" s="16"/>
      <c r="H447" s="16"/>
      <c r="J447" s="7"/>
      <c r="K447" s="6"/>
      <c r="L447" s="20"/>
      <c r="M447" s="22"/>
      <c r="N447" s="6"/>
    </row>
    <row r="448" spans="6:14" x14ac:dyDescent="0.3">
      <c r="F448" s="16"/>
      <c r="G448" s="16"/>
      <c r="H448" s="16"/>
      <c r="J448" s="7"/>
      <c r="K448" s="6"/>
      <c r="L448" s="20"/>
      <c r="M448" s="22"/>
      <c r="N448" s="6"/>
    </row>
    <row r="449" spans="6:14" x14ac:dyDescent="0.3">
      <c r="F449" s="16"/>
      <c r="G449" s="16"/>
      <c r="H449" s="16"/>
      <c r="J449" s="7"/>
      <c r="K449" s="6"/>
      <c r="L449" s="20"/>
      <c r="M449" s="22"/>
      <c r="N449" s="6"/>
    </row>
    <row r="450" spans="6:14" x14ac:dyDescent="0.3">
      <c r="F450" s="16"/>
      <c r="G450" s="16"/>
      <c r="H450" s="16"/>
      <c r="J450" s="7"/>
      <c r="K450" s="6"/>
      <c r="L450" s="20"/>
      <c r="M450" s="22"/>
      <c r="N450" s="6"/>
    </row>
    <row r="451" spans="6:14" x14ac:dyDescent="0.3">
      <c r="F451" s="16"/>
      <c r="G451" s="16"/>
      <c r="H451" s="16"/>
      <c r="J451" s="7"/>
      <c r="K451" s="6"/>
      <c r="L451" s="20"/>
      <c r="M451" s="22"/>
      <c r="N451" s="6"/>
    </row>
    <row r="452" spans="6:14" x14ac:dyDescent="0.3">
      <c r="F452" s="16"/>
      <c r="G452" s="16"/>
      <c r="H452" s="16"/>
      <c r="J452" s="7"/>
      <c r="K452" s="6"/>
      <c r="L452" s="20"/>
      <c r="M452" s="22"/>
      <c r="N452" s="6"/>
    </row>
    <row r="453" spans="6:14" x14ac:dyDescent="0.3">
      <c r="F453" s="16"/>
      <c r="G453" s="16"/>
      <c r="H453" s="16"/>
      <c r="J453" s="7"/>
      <c r="K453" s="6"/>
      <c r="L453" s="20"/>
      <c r="M453" s="22"/>
      <c r="N453" s="6"/>
    </row>
    <row r="454" spans="6:14" x14ac:dyDescent="0.3">
      <c r="F454" s="16"/>
      <c r="G454" s="16"/>
      <c r="H454" s="16"/>
      <c r="J454" s="7"/>
      <c r="K454" s="6"/>
      <c r="L454" s="20"/>
      <c r="M454" s="22"/>
      <c r="N454" s="6"/>
    </row>
    <row r="455" spans="6:14" x14ac:dyDescent="0.3">
      <c r="F455" s="16"/>
      <c r="G455" s="16"/>
      <c r="H455" s="16"/>
      <c r="J455" s="7"/>
      <c r="K455" s="6"/>
      <c r="L455" s="20"/>
      <c r="M455" s="22"/>
      <c r="N455" s="6"/>
    </row>
    <row r="456" spans="6:14" x14ac:dyDescent="0.3">
      <c r="F456" s="16"/>
      <c r="G456" s="16"/>
      <c r="H456" s="16"/>
      <c r="J456" s="7"/>
      <c r="K456" s="6"/>
      <c r="L456" s="20"/>
      <c r="M456" s="22"/>
      <c r="N456" s="6"/>
    </row>
    <row r="457" spans="6:14" x14ac:dyDescent="0.3">
      <c r="F457" s="16"/>
      <c r="G457" s="16"/>
      <c r="H457" s="16"/>
      <c r="J457" s="7"/>
      <c r="K457" s="6"/>
      <c r="L457" s="20"/>
      <c r="M457" s="22"/>
      <c r="N457" s="6"/>
    </row>
    <row r="458" spans="6:14" x14ac:dyDescent="0.3">
      <c r="F458" s="16"/>
      <c r="G458" s="16"/>
      <c r="H458" s="16"/>
      <c r="J458" s="7"/>
      <c r="K458" s="6"/>
      <c r="L458" s="20"/>
      <c r="M458" s="22"/>
      <c r="N458" s="6"/>
    </row>
    <row r="459" spans="6:14" x14ac:dyDescent="0.3">
      <c r="F459" s="16"/>
      <c r="G459" s="16"/>
      <c r="H459" s="16"/>
      <c r="J459" s="7"/>
      <c r="K459" s="6"/>
      <c r="L459" s="20"/>
      <c r="M459" s="22"/>
      <c r="N459" s="6"/>
    </row>
    <row r="460" spans="6:14" x14ac:dyDescent="0.3">
      <c r="F460" s="16"/>
      <c r="G460" s="16"/>
      <c r="H460" s="16"/>
      <c r="J460" s="7"/>
      <c r="K460" s="6"/>
      <c r="L460" s="20"/>
      <c r="M460" s="22"/>
      <c r="N460" s="6"/>
    </row>
    <row r="461" spans="6:14" x14ac:dyDescent="0.3">
      <c r="F461" s="16"/>
      <c r="G461" s="16"/>
      <c r="H461" s="16"/>
      <c r="J461" s="7"/>
      <c r="K461" s="6"/>
      <c r="L461" s="20"/>
      <c r="M461" s="22"/>
      <c r="N461" s="6"/>
    </row>
    <row r="462" spans="6:14" x14ac:dyDescent="0.3">
      <c r="F462" s="16"/>
      <c r="G462" s="16"/>
      <c r="H462" s="16"/>
      <c r="J462" s="7"/>
      <c r="K462" s="6"/>
      <c r="L462" s="20"/>
      <c r="M462" s="22"/>
      <c r="N462" s="6"/>
    </row>
    <row r="463" spans="6:14" x14ac:dyDescent="0.3">
      <c r="F463" s="16"/>
      <c r="G463" s="16"/>
      <c r="H463" s="16"/>
      <c r="J463" s="7"/>
      <c r="K463" s="6"/>
      <c r="L463" s="20"/>
      <c r="M463" s="22"/>
      <c r="N463" s="6"/>
    </row>
    <row r="464" spans="6:14" x14ac:dyDescent="0.3">
      <c r="F464" s="16"/>
      <c r="G464" s="16"/>
      <c r="H464" s="16"/>
      <c r="J464" s="7"/>
      <c r="K464" s="6"/>
      <c r="L464" s="20"/>
      <c r="M464" s="22"/>
      <c r="N464" s="6"/>
    </row>
    <row r="465" spans="6:14" x14ac:dyDescent="0.3">
      <c r="F465" s="16"/>
      <c r="G465" s="16"/>
      <c r="H465" s="16"/>
      <c r="J465" s="7"/>
      <c r="K465" s="6"/>
      <c r="L465" s="20"/>
      <c r="M465" s="22"/>
      <c r="N465" s="6"/>
    </row>
    <row r="466" spans="6:14" x14ac:dyDescent="0.3">
      <c r="F466" s="16"/>
      <c r="G466" s="16"/>
      <c r="H466" s="16"/>
      <c r="J466" s="7"/>
      <c r="K466" s="6"/>
      <c r="L466" s="20"/>
      <c r="M466" s="22"/>
      <c r="N466" s="6"/>
    </row>
    <row r="467" spans="6:14" x14ac:dyDescent="0.3">
      <c r="F467" s="16"/>
      <c r="G467" s="16"/>
      <c r="H467" s="16"/>
      <c r="J467" s="7"/>
      <c r="K467" s="6"/>
      <c r="L467" s="20"/>
      <c r="M467" s="22"/>
      <c r="N467" s="6"/>
    </row>
    <row r="468" spans="6:14" x14ac:dyDescent="0.3">
      <c r="F468" s="16"/>
      <c r="G468" s="16"/>
      <c r="H468" s="16"/>
      <c r="J468" s="7"/>
      <c r="K468" s="6"/>
      <c r="L468" s="20"/>
      <c r="M468" s="22"/>
      <c r="N468" s="6"/>
    </row>
    <row r="469" spans="6:14" x14ac:dyDescent="0.3">
      <c r="F469" s="16"/>
      <c r="G469" s="16"/>
      <c r="H469" s="16"/>
      <c r="J469" s="7"/>
      <c r="K469" s="6"/>
      <c r="L469" s="20"/>
      <c r="M469" s="22"/>
      <c r="N469" s="6"/>
    </row>
    <row r="470" spans="6:14" x14ac:dyDescent="0.3">
      <c r="F470" s="16"/>
      <c r="G470" s="16"/>
      <c r="H470" s="16"/>
      <c r="J470" s="7"/>
      <c r="K470" s="6"/>
      <c r="L470" s="20"/>
      <c r="M470" s="22"/>
      <c r="N470" s="6"/>
    </row>
    <row r="471" spans="6:14" x14ac:dyDescent="0.3">
      <c r="F471" s="16"/>
      <c r="G471" s="16"/>
      <c r="H471" s="16"/>
      <c r="J471" s="7"/>
      <c r="K471" s="6"/>
      <c r="L471" s="20"/>
      <c r="M471" s="22"/>
      <c r="N471" s="6"/>
    </row>
    <row r="472" spans="6:14" x14ac:dyDescent="0.3">
      <c r="F472" s="16"/>
      <c r="G472" s="16"/>
      <c r="H472" s="16"/>
      <c r="J472" s="7"/>
      <c r="K472" s="6"/>
      <c r="L472" s="20"/>
      <c r="M472" s="22"/>
      <c r="N472" s="6"/>
    </row>
    <row r="473" spans="6:14" x14ac:dyDescent="0.3">
      <c r="F473" s="16"/>
      <c r="G473" s="16"/>
      <c r="H473" s="16"/>
      <c r="J473" s="7"/>
      <c r="K473" s="6"/>
      <c r="L473" s="20"/>
      <c r="M473" s="22"/>
      <c r="N473" s="6"/>
    </row>
    <row r="474" spans="6:14" x14ac:dyDescent="0.3">
      <c r="F474" s="16"/>
      <c r="G474" s="16"/>
      <c r="H474" s="16"/>
      <c r="J474" s="7"/>
      <c r="K474" s="6"/>
      <c r="L474" s="20"/>
      <c r="M474" s="22"/>
      <c r="N474" s="6"/>
    </row>
    <row r="475" spans="6:14" x14ac:dyDescent="0.3">
      <c r="F475" s="16"/>
      <c r="G475" s="16"/>
      <c r="H475" s="16"/>
      <c r="J475" s="7"/>
      <c r="K475" s="6"/>
      <c r="L475" s="20"/>
      <c r="M475" s="22"/>
      <c r="N475" s="6"/>
    </row>
    <row r="476" spans="6:14" x14ac:dyDescent="0.3">
      <c r="F476" s="16"/>
      <c r="G476" s="16"/>
      <c r="H476" s="16"/>
      <c r="J476" s="7"/>
      <c r="K476" s="6"/>
      <c r="L476" s="20"/>
      <c r="M476" s="22"/>
      <c r="N476" s="6"/>
    </row>
    <row r="477" spans="6:14" x14ac:dyDescent="0.3">
      <c r="F477" s="16"/>
      <c r="G477" s="16"/>
      <c r="H477" s="16"/>
      <c r="J477" s="7"/>
      <c r="K477" s="6"/>
      <c r="L477" s="20"/>
      <c r="M477" s="22"/>
      <c r="N477" s="6"/>
    </row>
    <row r="478" spans="6:14" x14ac:dyDescent="0.3">
      <c r="F478" s="16"/>
      <c r="G478" s="16"/>
      <c r="H478" s="16"/>
      <c r="J478" s="7"/>
      <c r="K478" s="6"/>
      <c r="L478" s="20"/>
      <c r="M478" s="22"/>
      <c r="N478" s="6"/>
    </row>
    <row r="479" spans="6:14" x14ac:dyDescent="0.3">
      <c r="F479" s="16"/>
      <c r="G479" s="16"/>
      <c r="H479" s="16"/>
      <c r="J479" s="7"/>
      <c r="K479" s="6"/>
      <c r="L479" s="20"/>
      <c r="M479" s="22"/>
      <c r="N479" s="6"/>
    </row>
    <row r="480" spans="6:14" x14ac:dyDescent="0.3">
      <c r="F480" s="16"/>
      <c r="G480" s="16"/>
      <c r="H480" s="16"/>
      <c r="J480" s="7"/>
      <c r="K480" s="6"/>
      <c r="L480" s="20"/>
      <c r="M480" s="22"/>
      <c r="N480" s="6"/>
    </row>
    <row r="481" spans="6:14" x14ac:dyDescent="0.3">
      <c r="F481" s="16"/>
      <c r="G481" s="16"/>
      <c r="H481" s="16"/>
      <c r="J481" s="7"/>
      <c r="K481" s="6"/>
      <c r="L481" s="20"/>
      <c r="M481" s="22"/>
      <c r="N481" s="6"/>
    </row>
    <row r="482" spans="6:14" x14ac:dyDescent="0.3">
      <c r="F482" s="16"/>
      <c r="G482" s="16"/>
      <c r="H482" s="16"/>
      <c r="J482" s="7"/>
      <c r="K482" s="6"/>
      <c r="L482" s="20"/>
      <c r="M482" s="22"/>
      <c r="N482" s="6"/>
    </row>
    <row r="483" spans="6:14" x14ac:dyDescent="0.3">
      <c r="F483" s="16"/>
      <c r="G483" s="16"/>
      <c r="H483" s="16"/>
      <c r="J483" s="7"/>
      <c r="K483" s="6"/>
      <c r="L483" s="20"/>
      <c r="M483" s="22"/>
      <c r="N483" s="6"/>
    </row>
    <row r="484" spans="6:14" x14ac:dyDescent="0.3">
      <c r="F484" s="16"/>
      <c r="G484" s="16"/>
      <c r="H484" s="16"/>
      <c r="J484" s="7"/>
      <c r="K484" s="6"/>
      <c r="L484" s="20"/>
      <c r="M484" s="22"/>
      <c r="N484" s="6"/>
    </row>
    <row r="485" spans="6:14" x14ac:dyDescent="0.3">
      <c r="F485" s="16"/>
      <c r="G485" s="16"/>
      <c r="H485" s="16"/>
      <c r="J485" s="7"/>
      <c r="K485" s="6"/>
      <c r="L485" s="20"/>
      <c r="M485" s="22"/>
      <c r="N485" s="6"/>
    </row>
    <row r="486" spans="6:14" x14ac:dyDescent="0.3">
      <c r="F486" s="16"/>
      <c r="G486" s="16"/>
      <c r="H486" s="16"/>
      <c r="J486" s="7"/>
      <c r="K486" s="6"/>
      <c r="L486" s="20"/>
      <c r="M486" s="22"/>
      <c r="N486" s="6"/>
    </row>
    <row r="487" spans="6:14" x14ac:dyDescent="0.3">
      <c r="F487" s="16"/>
      <c r="G487" s="16"/>
      <c r="H487" s="16"/>
      <c r="J487" s="7"/>
      <c r="K487" s="6"/>
      <c r="L487" s="20"/>
      <c r="M487" s="22"/>
      <c r="N487" s="6"/>
    </row>
    <row r="488" spans="6:14" x14ac:dyDescent="0.3">
      <c r="F488" s="16"/>
      <c r="G488" s="16"/>
      <c r="H488" s="16"/>
      <c r="J488" s="7"/>
      <c r="K488" s="6"/>
      <c r="L488" s="20"/>
      <c r="M488" s="22"/>
      <c r="N488" s="6"/>
    </row>
    <row r="489" spans="6:14" x14ac:dyDescent="0.3">
      <c r="F489" s="16"/>
      <c r="G489" s="16"/>
      <c r="H489" s="16"/>
      <c r="J489" s="7"/>
      <c r="K489" s="6"/>
      <c r="L489" s="20"/>
      <c r="M489" s="22"/>
      <c r="N489" s="6"/>
    </row>
    <row r="490" spans="6:14" x14ac:dyDescent="0.3">
      <c r="F490" s="16"/>
      <c r="G490" s="16"/>
      <c r="H490" s="16"/>
      <c r="J490" s="7"/>
      <c r="K490" s="6"/>
      <c r="L490" s="20"/>
      <c r="M490" s="22"/>
      <c r="N490" s="6"/>
    </row>
    <row r="491" spans="6:14" x14ac:dyDescent="0.3">
      <c r="F491" s="16"/>
      <c r="G491" s="16"/>
      <c r="H491" s="16"/>
      <c r="J491" s="7"/>
      <c r="K491" s="6"/>
      <c r="L491" s="20"/>
      <c r="M491" s="22"/>
      <c r="N491" s="6"/>
    </row>
    <row r="492" spans="6:14" x14ac:dyDescent="0.3">
      <c r="F492" s="16"/>
      <c r="G492" s="16"/>
      <c r="H492" s="16"/>
      <c r="J492" s="7"/>
      <c r="K492" s="6"/>
      <c r="L492" s="20"/>
      <c r="M492" s="22"/>
      <c r="N492" s="6"/>
    </row>
    <row r="493" spans="6:14" x14ac:dyDescent="0.3">
      <c r="F493" s="16"/>
      <c r="G493" s="16"/>
      <c r="H493" s="16"/>
      <c r="J493" s="7"/>
      <c r="K493" s="6"/>
      <c r="L493" s="20"/>
      <c r="M493" s="22"/>
      <c r="N493" s="6"/>
    </row>
    <row r="494" spans="6:14" x14ac:dyDescent="0.3">
      <c r="F494" s="16"/>
      <c r="G494" s="16"/>
      <c r="H494" s="16"/>
      <c r="J494" s="7"/>
      <c r="K494" s="6"/>
      <c r="L494" s="20"/>
      <c r="M494" s="22"/>
      <c r="N494" s="6"/>
    </row>
    <row r="495" spans="6:14" x14ac:dyDescent="0.3">
      <c r="F495" s="16"/>
      <c r="G495" s="16"/>
      <c r="H495" s="16"/>
      <c r="J495" s="7"/>
      <c r="K495" s="6"/>
      <c r="L495" s="20"/>
      <c r="M495" s="22"/>
      <c r="N495" s="6"/>
    </row>
    <row r="496" spans="6:14" x14ac:dyDescent="0.3">
      <c r="F496" s="16"/>
      <c r="G496" s="16"/>
      <c r="H496" s="16"/>
      <c r="J496" s="7"/>
      <c r="K496" s="6"/>
      <c r="L496" s="20"/>
      <c r="M496" s="22"/>
      <c r="N496" s="6"/>
    </row>
    <row r="497" spans="6:14" x14ac:dyDescent="0.3">
      <c r="F497" s="16"/>
      <c r="G497" s="16"/>
      <c r="H497" s="16"/>
      <c r="J497" s="7"/>
      <c r="K497" s="6"/>
      <c r="L497" s="20"/>
      <c r="M497" s="22"/>
      <c r="N497" s="6"/>
    </row>
    <row r="498" spans="6:14" x14ac:dyDescent="0.3">
      <c r="F498" s="16"/>
      <c r="G498" s="16"/>
      <c r="H498" s="16"/>
      <c r="J498" s="7"/>
      <c r="K498" s="6"/>
      <c r="L498" s="20"/>
      <c r="M498" s="22"/>
      <c r="N498" s="6"/>
    </row>
    <row r="499" spans="6:14" x14ac:dyDescent="0.3">
      <c r="F499" s="16"/>
      <c r="G499" s="16"/>
      <c r="H499" s="16"/>
      <c r="J499" s="7"/>
      <c r="K499" s="6"/>
      <c r="L499" s="20"/>
      <c r="M499" s="22"/>
      <c r="N499" s="6"/>
    </row>
    <row r="500" spans="6:14" x14ac:dyDescent="0.3">
      <c r="F500" s="16"/>
      <c r="G500" s="16"/>
      <c r="H500" s="16"/>
      <c r="J500" s="7"/>
      <c r="K500" s="6"/>
      <c r="L500" s="20"/>
      <c r="M500" s="22"/>
      <c r="N500" s="6"/>
    </row>
    <row r="501" spans="6:14" x14ac:dyDescent="0.3">
      <c r="F501" s="16"/>
      <c r="G501" s="16"/>
      <c r="H501" s="16"/>
      <c r="J501" s="7"/>
      <c r="K501" s="6"/>
      <c r="L501" s="20"/>
      <c r="M501" s="22"/>
      <c r="N501" s="6"/>
    </row>
    <row r="502" spans="6:14" x14ac:dyDescent="0.3">
      <c r="F502" s="16"/>
      <c r="G502" s="16"/>
      <c r="H502" s="16"/>
      <c r="J502" s="7"/>
      <c r="K502" s="6"/>
      <c r="L502" s="20"/>
      <c r="M502" s="22"/>
      <c r="N502" s="6"/>
    </row>
    <row r="503" spans="6:14" x14ac:dyDescent="0.3">
      <c r="F503" s="16"/>
      <c r="G503" s="16"/>
      <c r="H503" s="16"/>
      <c r="J503" s="7"/>
      <c r="K503" s="6"/>
      <c r="L503" s="20"/>
      <c r="M503" s="22"/>
      <c r="N503" s="6"/>
    </row>
    <row r="504" spans="6:14" x14ac:dyDescent="0.3">
      <c r="F504" s="16"/>
      <c r="G504" s="16"/>
      <c r="H504" s="16"/>
      <c r="J504" s="7"/>
      <c r="K504" s="6"/>
      <c r="L504" s="20"/>
      <c r="M504" s="22"/>
      <c r="N504" s="6"/>
    </row>
    <row r="505" spans="6:14" x14ac:dyDescent="0.3">
      <c r="F505" s="16"/>
      <c r="G505" s="16"/>
      <c r="H505" s="16"/>
      <c r="J505" s="7"/>
      <c r="K505" s="6"/>
      <c r="L505" s="20"/>
      <c r="M505" s="22"/>
      <c r="N505" s="6"/>
    </row>
    <row r="506" spans="6:14" x14ac:dyDescent="0.3">
      <c r="F506" s="16"/>
      <c r="G506" s="16"/>
      <c r="H506" s="16"/>
      <c r="J506" s="7"/>
      <c r="K506" s="6"/>
      <c r="L506" s="20"/>
      <c r="M506" s="22"/>
      <c r="N506" s="6"/>
    </row>
    <row r="507" spans="6:14" x14ac:dyDescent="0.3">
      <c r="F507" s="16"/>
      <c r="G507" s="16"/>
      <c r="H507" s="16"/>
      <c r="J507" s="7"/>
      <c r="K507" s="6"/>
      <c r="L507" s="20"/>
      <c r="M507" s="22"/>
      <c r="N507" s="6"/>
    </row>
    <row r="508" spans="6:14" x14ac:dyDescent="0.3">
      <c r="F508" s="16"/>
      <c r="G508" s="16"/>
      <c r="H508" s="16"/>
      <c r="J508" s="7"/>
      <c r="K508" s="6"/>
      <c r="L508" s="20"/>
      <c r="M508" s="22"/>
      <c r="N508" s="6"/>
    </row>
    <row r="509" spans="6:14" x14ac:dyDescent="0.3">
      <c r="F509" s="16"/>
      <c r="G509" s="16"/>
      <c r="H509" s="16"/>
      <c r="J509" s="7"/>
      <c r="K509" s="6"/>
      <c r="L509" s="20"/>
      <c r="M509" s="22"/>
      <c r="N509" s="6"/>
    </row>
    <row r="510" spans="6:14" x14ac:dyDescent="0.3">
      <c r="F510" s="16"/>
      <c r="G510" s="16"/>
      <c r="H510" s="16"/>
      <c r="J510" s="7"/>
      <c r="K510" s="6"/>
      <c r="L510" s="20"/>
      <c r="M510" s="22"/>
      <c r="N510" s="6"/>
    </row>
    <row r="511" spans="6:14" x14ac:dyDescent="0.3">
      <c r="F511" s="16"/>
      <c r="G511" s="16"/>
      <c r="H511" s="16"/>
      <c r="J511" s="7"/>
      <c r="K511" s="6"/>
      <c r="L511" s="20"/>
      <c r="M511" s="22"/>
      <c r="N511" s="6"/>
    </row>
    <row r="512" spans="6:14" x14ac:dyDescent="0.3">
      <c r="F512" s="16"/>
      <c r="G512" s="16"/>
      <c r="H512" s="16"/>
      <c r="J512" s="7"/>
      <c r="K512" s="6"/>
      <c r="L512" s="20"/>
      <c r="M512" s="22"/>
      <c r="N512" s="6"/>
    </row>
    <row r="513" spans="6:14" x14ac:dyDescent="0.3">
      <c r="F513" s="16"/>
      <c r="G513" s="16"/>
      <c r="H513" s="16"/>
      <c r="J513" s="7"/>
      <c r="K513" s="6"/>
      <c r="L513" s="20"/>
      <c r="M513" s="22"/>
      <c r="N513" s="6"/>
    </row>
    <row r="514" spans="6:14" x14ac:dyDescent="0.3">
      <c r="F514" s="16"/>
      <c r="G514" s="16"/>
      <c r="H514" s="16"/>
      <c r="J514" s="7"/>
      <c r="K514" s="6"/>
      <c r="L514" s="20"/>
      <c r="M514" s="22"/>
      <c r="N514" s="6"/>
    </row>
    <row r="515" spans="6:14" x14ac:dyDescent="0.3">
      <c r="F515" s="16"/>
      <c r="G515" s="16"/>
      <c r="H515" s="16"/>
      <c r="J515" s="7"/>
      <c r="K515" s="6"/>
      <c r="L515" s="20"/>
      <c r="M515" s="22"/>
      <c r="N515" s="6"/>
    </row>
    <row r="516" spans="6:14" x14ac:dyDescent="0.3">
      <c r="F516" s="16"/>
      <c r="G516" s="16"/>
      <c r="H516" s="16"/>
      <c r="J516" s="7"/>
      <c r="K516" s="6"/>
      <c r="L516" s="20"/>
      <c r="M516" s="22"/>
      <c r="N516" s="6"/>
    </row>
    <row r="517" spans="6:14" x14ac:dyDescent="0.3">
      <c r="F517" s="16"/>
      <c r="G517" s="16"/>
      <c r="H517" s="16"/>
      <c r="J517" s="7"/>
      <c r="K517" s="6"/>
      <c r="L517" s="20"/>
      <c r="M517" s="22"/>
      <c r="N517" s="6"/>
    </row>
    <row r="518" spans="6:14" x14ac:dyDescent="0.3">
      <c r="F518" s="16"/>
      <c r="G518" s="16"/>
      <c r="H518" s="16"/>
      <c r="J518" s="7"/>
      <c r="K518" s="6"/>
      <c r="L518" s="20"/>
      <c r="M518" s="22"/>
      <c r="N518" s="6"/>
    </row>
    <row r="519" spans="6:14" x14ac:dyDescent="0.3">
      <c r="F519" s="16"/>
      <c r="G519" s="16"/>
      <c r="H519" s="16"/>
      <c r="J519" s="7"/>
      <c r="K519" s="6"/>
      <c r="L519" s="20"/>
      <c r="M519" s="22"/>
      <c r="N519" s="6"/>
    </row>
    <row r="520" spans="6:14" x14ac:dyDescent="0.3">
      <c r="F520" s="16"/>
      <c r="G520" s="16"/>
      <c r="H520" s="16"/>
      <c r="J520" s="7"/>
      <c r="K520" s="6"/>
      <c r="L520" s="20"/>
      <c r="M520" s="22"/>
      <c r="N520" s="6"/>
    </row>
    <row r="521" spans="6:14" x14ac:dyDescent="0.3">
      <c r="F521" s="16"/>
      <c r="G521" s="16"/>
      <c r="H521" s="16"/>
      <c r="J521" s="7"/>
      <c r="K521" s="6"/>
      <c r="L521" s="20"/>
      <c r="M521" s="22"/>
      <c r="N521" s="6"/>
    </row>
    <row r="522" spans="6:14" x14ac:dyDescent="0.3">
      <c r="F522" s="16"/>
      <c r="G522" s="16"/>
      <c r="H522" s="16"/>
      <c r="J522" s="7"/>
      <c r="K522" s="6"/>
      <c r="L522" s="20"/>
      <c r="M522" s="22"/>
      <c r="N522" s="6"/>
    </row>
    <row r="523" spans="6:14" x14ac:dyDescent="0.3">
      <c r="F523" s="16"/>
      <c r="G523" s="16"/>
      <c r="H523" s="16"/>
      <c r="J523" s="7"/>
      <c r="K523" s="6"/>
      <c r="L523" s="20"/>
      <c r="M523" s="22"/>
      <c r="N523" s="6"/>
    </row>
    <row r="524" spans="6:14" x14ac:dyDescent="0.3">
      <c r="F524" s="16"/>
      <c r="G524" s="16"/>
      <c r="H524" s="16"/>
      <c r="J524" s="7"/>
      <c r="K524" s="6"/>
      <c r="L524" s="20"/>
      <c r="M524" s="22"/>
      <c r="N524" s="6"/>
    </row>
    <row r="525" spans="6:14" x14ac:dyDescent="0.3">
      <c r="F525" s="16"/>
      <c r="G525" s="16"/>
      <c r="H525" s="16"/>
      <c r="J525" s="7"/>
      <c r="K525" s="6"/>
      <c r="L525" s="20"/>
      <c r="M525" s="22"/>
      <c r="N525" s="6"/>
    </row>
    <row r="526" spans="6:14" x14ac:dyDescent="0.3">
      <c r="F526" s="16"/>
      <c r="G526" s="16"/>
      <c r="H526" s="16"/>
      <c r="J526" s="7"/>
      <c r="K526" s="6"/>
      <c r="L526" s="20"/>
      <c r="M526" s="22"/>
      <c r="N526" s="6"/>
    </row>
    <row r="527" spans="6:14" x14ac:dyDescent="0.3">
      <c r="F527" s="16"/>
      <c r="G527" s="16"/>
      <c r="H527" s="16"/>
      <c r="J527" s="7"/>
      <c r="K527" s="6"/>
      <c r="L527" s="20"/>
      <c r="M527" s="22"/>
      <c r="N527" s="6"/>
    </row>
    <row r="528" spans="6:14" x14ac:dyDescent="0.3">
      <c r="F528" s="16"/>
      <c r="G528" s="16"/>
      <c r="H528" s="16"/>
      <c r="J528" s="7"/>
      <c r="K528" s="6"/>
      <c r="L528" s="20"/>
      <c r="M528" s="22"/>
      <c r="N528" s="6"/>
    </row>
    <row r="529" spans="6:14" x14ac:dyDescent="0.3">
      <c r="F529" s="16"/>
      <c r="G529" s="16"/>
      <c r="H529" s="16"/>
      <c r="J529" s="7"/>
      <c r="K529" s="6"/>
      <c r="L529" s="20"/>
      <c r="M529" s="22"/>
      <c r="N529" s="6"/>
    </row>
    <row r="530" spans="6:14" x14ac:dyDescent="0.3">
      <c r="F530" s="16"/>
      <c r="G530" s="16"/>
      <c r="H530" s="16"/>
      <c r="J530" s="7"/>
      <c r="K530" s="6"/>
      <c r="L530" s="20"/>
      <c r="M530" s="22"/>
      <c r="N530" s="6"/>
    </row>
    <row r="531" spans="6:14" x14ac:dyDescent="0.3">
      <c r="F531" s="16"/>
      <c r="G531" s="16"/>
      <c r="H531" s="16"/>
      <c r="J531" s="7"/>
      <c r="K531" s="6"/>
      <c r="L531" s="20"/>
      <c r="M531" s="22"/>
      <c r="N531" s="6"/>
    </row>
    <row r="532" spans="6:14" x14ac:dyDescent="0.3">
      <c r="F532" s="16"/>
      <c r="G532" s="16"/>
      <c r="H532" s="16"/>
      <c r="J532" s="7"/>
      <c r="K532" s="6"/>
      <c r="L532" s="20"/>
      <c r="M532" s="22"/>
      <c r="N532" s="6"/>
    </row>
    <row r="533" spans="6:14" x14ac:dyDescent="0.3">
      <c r="F533" s="16"/>
      <c r="G533" s="16"/>
      <c r="H533" s="16"/>
      <c r="J533" s="7"/>
      <c r="K533" s="6"/>
      <c r="L533" s="20"/>
      <c r="M533" s="22"/>
      <c r="N533" s="6"/>
    </row>
    <row r="534" spans="6:14" x14ac:dyDescent="0.3">
      <c r="F534" s="16"/>
      <c r="G534" s="16"/>
      <c r="H534" s="16"/>
      <c r="J534" s="7"/>
      <c r="K534" s="6"/>
      <c r="L534" s="20"/>
      <c r="M534" s="22"/>
      <c r="N534" s="6"/>
    </row>
    <row r="535" spans="6:14" x14ac:dyDescent="0.3">
      <c r="F535" s="16"/>
      <c r="G535" s="16"/>
      <c r="H535" s="16"/>
      <c r="J535" s="7"/>
      <c r="K535" s="6"/>
      <c r="L535" s="20"/>
      <c r="M535" s="22"/>
      <c r="N535" s="6"/>
    </row>
    <row r="536" spans="6:14" x14ac:dyDescent="0.3">
      <c r="F536" s="16"/>
      <c r="G536" s="16"/>
      <c r="H536" s="16"/>
      <c r="J536" s="7"/>
      <c r="K536" s="6"/>
      <c r="L536" s="20"/>
      <c r="M536" s="22"/>
      <c r="N536" s="6"/>
    </row>
    <row r="537" spans="6:14" x14ac:dyDescent="0.3">
      <c r="F537" s="16"/>
      <c r="G537" s="16"/>
      <c r="H537" s="16"/>
      <c r="J537" s="7"/>
      <c r="K537" s="6"/>
      <c r="L537" s="20"/>
      <c r="M537" s="22"/>
      <c r="N537" s="6"/>
    </row>
    <row r="538" spans="6:14" x14ac:dyDescent="0.3">
      <c r="F538" s="16"/>
      <c r="G538" s="16"/>
      <c r="H538" s="16"/>
      <c r="J538" s="7"/>
      <c r="K538" s="6"/>
      <c r="L538" s="20"/>
      <c r="M538" s="22"/>
      <c r="N538" s="6"/>
    </row>
    <row r="539" spans="6:14" x14ac:dyDescent="0.3">
      <c r="F539" s="16"/>
      <c r="G539" s="16"/>
      <c r="H539" s="16"/>
      <c r="J539" s="7"/>
      <c r="K539" s="6"/>
      <c r="L539" s="20"/>
      <c r="M539" s="22"/>
      <c r="N539" s="6"/>
    </row>
    <row r="540" spans="6:14" x14ac:dyDescent="0.3">
      <c r="F540" s="16"/>
      <c r="G540" s="16"/>
      <c r="H540" s="16"/>
      <c r="J540" s="7"/>
      <c r="K540" s="6"/>
      <c r="L540" s="20"/>
      <c r="M540" s="22"/>
      <c r="N540" s="6"/>
    </row>
    <row r="541" spans="6:14" x14ac:dyDescent="0.3">
      <c r="F541" s="16"/>
      <c r="G541" s="16"/>
      <c r="H541" s="16"/>
      <c r="J541" s="7"/>
      <c r="K541" s="6"/>
      <c r="L541" s="20"/>
      <c r="M541" s="22"/>
      <c r="N541" s="6"/>
    </row>
    <row r="542" spans="6:14" x14ac:dyDescent="0.3">
      <c r="F542" s="16"/>
      <c r="G542" s="16"/>
      <c r="H542" s="16"/>
      <c r="J542" s="7"/>
      <c r="K542" s="6"/>
      <c r="L542" s="20"/>
      <c r="M542" s="22"/>
      <c r="N542" s="6"/>
    </row>
    <row r="543" spans="6:14" x14ac:dyDescent="0.3">
      <c r="F543" s="16"/>
      <c r="G543" s="16"/>
      <c r="H543" s="16"/>
      <c r="J543" s="7"/>
      <c r="K543" s="6"/>
      <c r="L543" s="20"/>
      <c r="M543" s="22"/>
      <c r="N543" s="6"/>
    </row>
    <row r="544" spans="6:14" x14ac:dyDescent="0.3">
      <c r="F544" s="16"/>
      <c r="G544" s="16"/>
      <c r="H544" s="16"/>
      <c r="J544" s="7"/>
      <c r="K544" s="6"/>
      <c r="L544" s="20"/>
      <c r="M544" s="22"/>
      <c r="N544" s="6"/>
    </row>
    <row r="545" spans="6:14" x14ac:dyDescent="0.3">
      <c r="F545" s="16"/>
      <c r="G545" s="16"/>
      <c r="H545" s="16"/>
      <c r="J545" s="7"/>
      <c r="K545" s="6"/>
      <c r="L545" s="20"/>
      <c r="M545" s="22"/>
      <c r="N545" s="6"/>
    </row>
    <row r="546" spans="6:14" x14ac:dyDescent="0.3">
      <c r="F546" s="16"/>
      <c r="G546" s="16"/>
      <c r="H546" s="16"/>
      <c r="J546" s="7"/>
      <c r="K546" s="6"/>
      <c r="L546" s="20"/>
      <c r="M546" s="22"/>
      <c r="N546" s="6"/>
    </row>
    <row r="547" spans="6:14" x14ac:dyDescent="0.3">
      <c r="F547" s="16"/>
      <c r="G547" s="16"/>
      <c r="H547" s="16"/>
      <c r="J547" s="7"/>
      <c r="K547" s="6"/>
      <c r="L547" s="20"/>
      <c r="M547" s="22"/>
      <c r="N547" s="6"/>
    </row>
    <row r="548" spans="6:14" x14ac:dyDescent="0.3">
      <c r="F548" s="16"/>
      <c r="G548" s="16"/>
      <c r="H548" s="16"/>
      <c r="J548" s="7"/>
      <c r="K548" s="6"/>
      <c r="L548" s="20"/>
      <c r="M548" s="22"/>
      <c r="N548" s="6"/>
    </row>
    <row r="549" spans="6:14" x14ac:dyDescent="0.3">
      <c r="F549" s="16"/>
      <c r="G549" s="16"/>
      <c r="H549" s="16"/>
      <c r="J549" s="7"/>
      <c r="K549" s="6"/>
      <c r="L549" s="20"/>
      <c r="M549" s="22"/>
      <c r="N549" s="6"/>
    </row>
    <row r="550" spans="6:14" x14ac:dyDescent="0.3">
      <c r="F550" s="16"/>
      <c r="G550" s="16"/>
      <c r="H550" s="16"/>
      <c r="J550" s="7"/>
      <c r="K550" s="6"/>
      <c r="L550" s="20"/>
      <c r="M550" s="22"/>
      <c r="N550" s="6"/>
    </row>
    <row r="551" spans="6:14" x14ac:dyDescent="0.3">
      <c r="F551" s="16"/>
      <c r="G551" s="16"/>
      <c r="H551" s="16"/>
      <c r="J551" s="7"/>
      <c r="K551" s="6"/>
      <c r="L551" s="20"/>
      <c r="M551" s="22"/>
      <c r="N551" s="6"/>
    </row>
    <row r="552" spans="6:14" x14ac:dyDescent="0.3">
      <c r="F552" s="16"/>
      <c r="G552" s="16"/>
      <c r="H552" s="16"/>
      <c r="J552" s="7"/>
      <c r="K552" s="6"/>
      <c r="L552" s="20"/>
      <c r="M552" s="22"/>
      <c r="N552" s="6"/>
    </row>
    <row r="553" spans="6:14" x14ac:dyDescent="0.3">
      <c r="F553" s="16"/>
      <c r="G553" s="16"/>
      <c r="H553" s="16"/>
      <c r="J553" s="7"/>
      <c r="K553" s="6"/>
      <c r="L553" s="20"/>
      <c r="M553" s="22"/>
      <c r="N553" s="6"/>
    </row>
    <row r="554" spans="6:14" x14ac:dyDescent="0.3">
      <c r="F554" s="16"/>
      <c r="G554" s="16"/>
      <c r="H554" s="16"/>
      <c r="J554" s="7"/>
      <c r="K554" s="6"/>
      <c r="L554" s="20"/>
      <c r="M554" s="22"/>
      <c r="N554" s="6"/>
    </row>
    <row r="555" spans="6:14" x14ac:dyDescent="0.3">
      <c r="F555" s="16"/>
      <c r="G555" s="16"/>
      <c r="H555" s="16"/>
      <c r="J555" s="7"/>
      <c r="K555" s="6"/>
      <c r="L555" s="20"/>
      <c r="M555" s="22"/>
      <c r="N555" s="6"/>
    </row>
    <row r="556" spans="6:14" x14ac:dyDescent="0.3">
      <c r="F556" s="16"/>
      <c r="G556" s="16"/>
      <c r="H556" s="16"/>
      <c r="J556" s="7"/>
      <c r="K556" s="6"/>
      <c r="L556" s="20"/>
      <c r="M556" s="22"/>
      <c r="N556" s="6"/>
    </row>
    <row r="557" spans="6:14" x14ac:dyDescent="0.3">
      <c r="F557" s="16"/>
      <c r="G557" s="16"/>
      <c r="H557" s="16"/>
      <c r="J557" s="7"/>
      <c r="K557" s="6"/>
      <c r="L557" s="20"/>
      <c r="M557" s="22"/>
      <c r="N557" s="6"/>
    </row>
    <row r="558" spans="6:14" x14ac:dyDescent="0.3">
      <c r="F558" s="16"/>
      <c r="G558" s="16"/>
      <c r="H558" s="16"/>
      <c r="J558" s="7"/>
      <c r="K558" s="6"/>
      <c r="L558" s="20"/>
      <c r="M558" s="22"/>
      <c r="N558" s="6"/>
    </row>
    <row r="559" spans="6:14" x14ac:dyDescent="0.3">
      <c r="F559" s="16"/>
      <c r="G559" s="16"/>
      <c r="H559" s="16"/>
      <c r="J559" s="7"/>
      <c r="K559" s="6"/>
      <c r="L559" s="20"/>
      <c r="M559" s="22"/>
      <c r="N559" s="6"/>
    </row>
    <row r="560" spans="6:14" x14ac:dyDescent="0.3">
      <c r="F560" s="16"/>
      <c r="G560" s="16"/>
      <c r="H560" s="16"/>
      <c r="J560" s="7"/>
      <c r="K560" s="6"/>
      <c r="L560" s="20"/>
      <c r="M560" s="22"/>
      <c r="N560" s="6"/>
    </row>
    <row r="561" spans="6:14" x14ac:dyDescent="0.3">
      <c r="F561" s="16"/>
      <c r="G561" s="16"/>
      <c r="H561" s="16"/>
      <c r="J561" s="7"/>
      <c r="K561" s="6"/>
      <c r="L561" s="20"/>
      <c r="M561" s="22"/>
      <c r="N561" s="6"/>
    </row>
    <row r="562" spans="6:14" x14ac:dyDescent="0.3">
      <c r="F562" s="16"/>
      <c r="G562" s="16"/>
      <c r="H562" s="16"/>
      <c r="J562" s="7"/>
      <c r="K562" s="6"/>
      <c r="L562" s="20"/>
      <c r="M562" s="22"/>
      <c r="N562" s="6"/>
    </row>
    <row r="563" spans="6:14" x14ac:dyDescent="0.3">
      <c r="F563" s="16"/>
      <c r="G563" s="16"/>
      <c r="H563" s="16"/>
      <c r="J563" s="7"/>
      <c r="K563" s="6"/>
      <c r="L563" s="20"/>
      <c r="M563" s="22"/>
      <c r="N563" s="6"/>
    </row>
    <row r="564" spans="6:14" x14ac:dyDescent="0.3">
      <c r="F564" s="16"/>
      <c r="G564" s="16"/>
      <c r="H564" s="16"/>
      <c r="J564" s="7"/>
      <c r="K564" s="6"/>
      <c r="L564" s="20"/>
      <c r="M564" s="22"/>
      <c r="N564" s="6"/>
    </row>
    <row r="565" spans="6:14" x14ac:dyDescent="0.3">
      <c r="F565" s="16"/>
      <c r="G565" s="16"/>
      <c r="H565" s="16"/>
      <c r="J565" s="7"/>
      <c r="K565" s="6"/>
      <c r="L565" s="20"/>
      <c r="M565" s="22"/>
      <c r="N565" s="6"/>
    </row>
    <row r="566" spans="6:14" x14ac:dyDescent="0.3">
      <c r="F566" s="16"/>
      <c r="G566" s="16"/>
      <c r="H566" s="16"/>
      <c r="J566" s="7"/>
      <c r="K566" s="6"/>
      <c r="L566" s="20"/>
      <c r="M566" s="22"/>
      <c r="N566" s="6"/>
    </row>
    <row r="567" spans="6:14" x14ac:dyDescent="0.3">
      <c r="F567" s="16"/>
      <c r="G567" s="16"/>
      <c r="H567" s="16"/>
      <c r="J567" s="7"/>
      <c r="K567" s="6"/>
      <c r="L567" s="20"/>
      <c r="M567" s="22"/>
      <c r="N567" s="6"/>
    </row>
    <row r="568" spans="6:14" x14ac:dyDescent="0.3">
      <c r="F568" s="16"/>
      <c r="G568" s="16"/>
      <c r="H568" s="16"/>
      <c r="J568" s="7"/>
      <c r="K568" s="6"/>
      <c r="L568" s="20"/>
      <c r="M568" s="22"/>
      <c r="N568" s="6"/>
    </row>
    <row r="569" spans="6:14" x14ac:dyDescent="0.3">
      <c r="F569" s="16"/>
      <c r="G569" s="16"/>
      <c r="H569" s="16"/>
      <c r="J569" s="7"/>
      <c r="K569" s="6"/>
      <c r="L569" s="20"/>
      <c r="M569" s="22"/>
      <c r="N569" s="6"/>
    </row>
    <row r="570" spans="6:14" x14ac:dyDescent="0.3">
      <c r="F570" s="16"/>
      <c r="G570" s="16"/>
      <c r="H570" s="16"/>
      <c r="J570" s="7"/>
      <c r="K570" s="6"/>
      <c r="L570" s="20"/>
      <c r="M570" s="22"/>
      <c r="N570" s="6"/>
    </row>
    <row r="571" spans="6:14" x14ac:dyDescent="0.3">
      <c r="F571" s="16"/>
      <c r="G571" s="16"/>
      <c r="H571" s="16"/>
      <c r="J571" s="7"/>
      <c r="K571" s="6"/>
      <c r="L571" s="20"/>
      <c r="M571" s="22"/>
      <c r="N571" s="6"/>
    </row>
    <row r="572" spans="6:14" x14ac:dyDescent="0.3">
      <c r="F572" s="16"/>
      <c r="G572" s="16"/>
      <c r="H572" s="16"/>
      <c r="J572" s="7"/>
      <c r="K572" s="6"/>
      <c r="L572" s="20"/>
      <c r="M572" s="22"/>
      <c r="N572" s="6"/>
    </row>
    <row r="573" spans="6:14" x14ac:dyDescent="0.3">
      <c r="F573" s="16"/>
      <c r="G573" s="16"/>
      <c r="H573" s="16"/>
      <c r="J573" s="7"/>
      <c r="K573" s="6"/>
      <c r="L573" s="20"/>
      <c r="M573" s="22"/>
      <c r="N573" s="6"/>
    </row>
    <row r="574" spans="6:14" x14ac:dyDescent="0.3">
      <c r="F574" s="16"/>
      <c r="G574" s="16"/>
      <c r="H574" s="16"/>
      <c r="J574" s="7"/>
      <c r="K574" s="6"/>
      <c r="L574" s="20"/>
      <c r="M574" s="22"/>
      <c r="N574" s="6"/>
    </row>
    <row r="575" spans="6:14" x14ac:dyDescent="0.3">
      <c r="F575" s="16"/>
      <c r="G575" s="16"/>
      <c r="H575" s="16"/>
      <c r="J575" s="7"/>
      <c r="K575" s="6"/>
      <c r="L575" s="20"/>
      <c r="M575" s="22"/>
      <c r="N575" s="6"/>
    </row>
    <row r="576" spans="6:14" x14ac:dyDescent="0.3">
      <c r="F576" s="16"/>
      <c r="G576" s="16"/>
      <c r="H576" s="16"/>
      <c r="J576" s="7"/>
      <c r="K576" s="6"/>
      <c r="L576" s="20"/>
      <c r="M576" s="22"/>
      <c r="N576" s="6"/>
    </row>
    <row r="577" spans="6:14" x14ac:dyDescent="0.3">
      <c r="F577" s="16"/>
      <c r="G577" s="16"/>
      <c r="H577" s="16"/>
      <c r="J577" s="7"/>
      <c r="K577" s="6"/>
      <c r="L577" s="20"/>
      <c r="M577" s="22"/>
      <c r="N577" s="6"/>
    </row>
    <row r="578" spans="6:14" x14ac:dyDescent="0.3">
      <c r="F578" s="16"/>
      <c r="G578" s="16"/>
      <c r="H578" s="16"/>
      <c r="J578" s="7"/>
      <c r="K578" s="6"/>
      <c r="L578" s="20"/>
      <c r="M578" s="22"/>
      <c r="N578" s="6"/>
    </row>
    <row r="579" spans="6:14" x14ac:dyDescent="0.3">
      <c r="F579" s="16"/>
      <c r="G579" s="16"/>
      <c r="H579" s="16"/>
      <c r="J579" s="7"/>
      <c r="K579" s="6"/>
      <c r="L579" s="20"/>
      <c r="M579" s="22"/>
      <c r="N579" s="6"/>
    </row>
    <row r="580" spans="6:14" x14ac:dyDescent="0.3">
      <c r="F580" s="16"/>
      <c r="G580" s="16"/>
      <c r="H580" s="16"/>
      <c r="J580" s="7"/>
      <c r="K580" s="6"/>
      <c r="L580" s="20"/>
      <c r="M580" s="22"/>
      <c r="N580" s="6"/>
    </row>
    <row r="581" spans="6:14" x14ac:dyDescent="0.3">
      <c r="F581" s="16"/>
      <c r="G581" s="16"/>
      <c r="H581" s="16"/>
      <c r="J581" s="7"/>
      <c r="K581" s="6"/>
      <c r="L581" s="20"/>
      <c r="M581" s="22"/>
      <c r="N581" s="6"/>
    </row>
    <row r="582" spans="6:14" x14ac:dyDescent="0.3">
      <c r="F582" s="16"/>
      <c r="G582" s="16"/>
      <c r="H582" s="16"/>
      <c r="J582" s="7"/>
      <c r="K582" s="6"/>
      <c r="L582" s="20"/>
      <c r="M582" s="22"/>
      <c r="N582" s="6"/>
    </row>
    <row r="583" spans="6:14" x14ac:dyDescent="0.3">
      <c r="F583" s="16"/>
      <c r="G583" s="16"/>
      <c r="H583" s="16"/>
      <c r="J583" s="7"/>
      <c r="K583" s="6"/>
      <c r="L583" s="20"/>
      <c r="M583" s="22"/>
      <c r="N583" s="6"/>
    </row>
    <row r="584" spans="6:14" x14ac:dyDescent="0.3">
      <c r="F584" s="16"/>
      <c r="G584" s="16"/>
      <c r="H584" s="16"/>
      <c r="J584" s="7"/>
      <c r="K584" s="6"/>
      <c r="L584" s="20"/>
      <c r="M584" s="22"/>
      <c r="N584" s="6"/>
    </row>
    <row r="585" spans="6:14" x14ac:dyDescent="0.3">
      <c r="F585" s="16"/>
      <c r="G585" s="16"/>
      <c r="H585" s="16"/>
      <c r="J585" s="7"/>
      <c r="K585" s="6"/>
      <c r="L585" s="20"/>
      <c r="M585" s="22"/>
      <c r="N585" s="6"/>
    </row>
    <row r="586" spans="6:14" x14ac:dyDescent="0.3">
      <c r="F586" s="16"/>
      <c r="G586" s="16"/>
      <c r="H586" s="16"/>
      <c r="J586" s="7"/>
      <c r="K586" s="6"/>
      <c r="L586" s="20"/>
      <c r="M586" s="22"/>
      <c r="N586" s="6"/>
    </row>
    <row r="587" spans="6:14" x14ac:dyDescent="0.3">
      <c r="F587" s="16"/>
      <c r="G587" s="16"/>
      <c r="H587" s="16"/>
      <c r="J587" s="7"/>
      <c r="K587" s="6"/>
      <c r="L587" s="20"/>
      <c r="M587" s="22"/>
      <c r="N587" s="6"/>
    </row>
    <row r="588" spans="6:14" x14ac:dyDescent="0.3">
      <c r="F588" s="16"/>
      <c r="G588" s="16"/>
      <c r="H588" s="16"/>
      <c r="J588" s="7"/>
      <c r="K588" s="6"/>
      <c r="L588" s="20"/>
      <c r="M588" s="22"/>
      <c r="N588" s="6"/>
    </row>
    <row r="589" spans="6:14" x14ac:dyDescent="0.3">
      <c r="F589" s="16"/>
      <c r="G589" s="16"/>
      <c r="H589" s="16"/>
      <c r="J589" s="7"/>
      <c r="K589" s="6"/>
      <c r="L589" s="20"/>
      <c r="M589" s="22"/>
      <c r="N589" s="6"/>
    </row>
    <row r="590" spans="6:14" x14ac:dyDescent="0.3">
      <c r="F590" s="16"/>
      <c r="G590" s="16"/>
      <c r="H590" s="16"/>
      <c r="J590" s="7"/>
      <c r="K590" s="6"/>
      <c r="L590" s="20"/>
      <c r="M590" s="22"/>
      <c r="N590" s="6"/>
    </row>
    <row r="591" spans="6:14" x14ac:dyDescent="0.3">
      <c r="F591" s="16"/>
      <c r="G591" s="16"/>
      <c r="H591" s="16"/>
      <c r="J591" s="7"/>
      <c r="K591" s="6"/>
      <c r="L591" s="20"/>
      <c r="M591" s="22"/>
      <c r="N591" s="6"/>
    </row>
    <row r="592" spans="6:14" x14ac:dyDescent="0.3">
      <c r="F592" s="16"/>
      <c r="G592" s="16"/>
      <c r="H592" s="16"/>
      <c r="J592" s="7"/>
      <c r="K592" s="6"/>
      <c r="L592" s="20"/>
      <c r="M592" s="22"/>
      <c r="N592" s="6"/>
    </row>
    <row r="593" spans="6:14" x14ac:dyDescent="0.3">
      <c r="F593" s="16"/>
      <c r="G593" s="16"/>
      <c r="H593" s="16"/>
      <c r="J593" s="7"/>
      <c r="K593" s="6"/>
      <c r="L593" s="20"/>
      <c r="M593" s="22"/>
      <c r="N593" s="6"/>
    </row>
    <row r="594" spans="6:14" x14ac:dyDescent="0.3">
      <c r="F594" s="16"/>
      <c r="G594" s="16"/>
      <c r="H594" s="16"/>
      <c r="J594" s="7"/>
      <c r="K594" s="6"/>
      <c r="L594" s="20"/>
      <c r="M594" s="22"/>
      <c r="N594" s="6"/>
    </row>
    <row r="595" spans="6:14" x14ac:dyDescent="0.3">
      <c r="F595" s="16"/>
      <c r="G595" s="16"/>
      <c r="H595" s="16"/>
      <c r="J595" s="7"/>
      <c r="K595" s="6"/>
      <c r="L595" s="20"/>
      <c r="M595" s="22"/>
      <c r="N595" s="6"/>
    </row>
    <row r="596" spans="6:14" x14ac:dyDescent="0.3">
      <c r="F596" s="16"/>
      <c r="G596" s="16"/>
      <c r="H596" s="16"/>
      <c r="J596" s="7"/>
      <c r="K596" s="6"/>
      <c r="L596" s="20"/>
      <c r="M596" s="22"/>
      <c r="N596" s="6"/>
    </row>
    <row r="597" spans="6:14" x14ac:dyDescent="0.3">
      <c r="F597" s="16"/>
      <c r="G597" s="16"/>
      <c r="H597" s="16"/>
      <c r="J597" s="7"/>
      <c r="K597" s="6"/>
      <c r="L597" s="20"/>
      <c r="M597" s="22"/>
      <c r="N597" s="6"/>
    </row>
    <row r="598" spans="6:14" x14ac:dyDescent="0.3">
      <c r="F598" s="16"/>
      <c r="G598" s="16"/>
      <c r="H598" s="16"/>
      <c r="J598" s="7"/>
      <c r="K598" s="6"/>
      <c r="L598" s="20"/>
      <c r="M598" s="22"/>
      <c r="N598" s="6"/>
    </row>
    <row r="599" spans="6:14" x14ac:dyDescent="0.3">
      <c r="F599" s="16"/>
      <c r="G599" s="16"/>
      <c r="H599" s="16"/>
      <c r="J599" s="7"/>
      <c r="K599" s="6"/>
      <c r="L599" s="20"/>
      <c r="M599" s="22"/>
      <c r="N599" s="6"/>
    </row>
    <row r="600" spans="6:14" x14ac:dyDescent="0.3">
      <c r="F600" s="16"/>
      <c r="G600" s="16"/>
      <c r="H600" s="16"/>
      <c r="J600" s="7"/>
      <c r="K600" s="6"/>
      <c r="L600" s="20"/>
      <c r="M600" s="22"/>
      <c r="N600" s="6"/>
    </row>
    <row r="601" spans="6:14" x14ac:dyDescent="0.3">
      <c r="F601" s="16"/>
      <c r="G601" s="16"/>
      <c r="H601" s="16"/>
      <c r="J601" s="7"/>
      <c r="K601" s="6"/>
      <c r="L601" s="20"/>
      <c r="M601" s="22"/>
      <c r="N601" s="6"/>
    </row>
    <row r="602" spans="6:14" x14ac:dyDescent="0.3">
      <c r="F602" s="16"/>
      <c r="G602" s="16"/>
      <c r="H602" s="16"/>
      <c r="J602" s="7"/>
      <c r="K602" s="6"/>
      <c r="L602" s="20"/>
      <c r="M602" s="22"/>
      <c r="N602" s="6"/>
    </row>
    <row r="603" spans="6:14" x14ac:dyDescent="0.3">
      <c r="F603" s="16"/>
      <c r="G603" s="16"/>
      <c r="H603" s="16"/>
      <c r="J603" s="7"/>
      <c r="K603" s="6"/>
      <c r="L603" s="20"/>
      <c r="M603" s="22"/>
      <c r="N603" s="6"/>
    </row>
    <row r="604" spans="6:14" x14ac:dyDescent="0.3">
      <c r="F604" s="16"/>
      <c r="G604" s="16"/>
      <c r="H604" s="16"/>
      <c r="J604" s="7"/>
      <c r="K604" s="6"/>
      <c r="L604" s="20"/>
      <c r="M604" s="22"/>
      <c r="N604" s="6"/>
    </row>
    <row r="605" spans="6:14" x14ac:dyDescent="0.3">
      <c r="F605" s="16"/>
      <c r="G605" s="16"/>
      <c r="H605" s="16"/>
      <c r="J605" s="7"/>
      <c r="K605" s="6"/>
      <c r="L605" s="20"/>
      <c r="M605" s="22"/>
      <c r="N605" s="6"/>
    </row>
    <row r="606" spans="6:14" x14ac:dyDescent="0.3">
      <c r="F606" s="16"/>
      <c r="G606" s="16"/>
      <c r="H606" s="16"/>
      <c r="J606" s="7"/>
      <c r="K606" s="6"/>
      <c r="L606" s="20"/>
      <c r="M606" s="22"/>
      <c r="N606" s="6"/>
    </row>
    <row r="607" spans="6:14" x14ac:dyDescent="0.3">
      <c r="F607" s="16"/>
      <c r="G607" s="16"/>
      <c r="H607" s="16"/>
      <c r="J607" s="7"/>
      <c r="K607" s="6"/>
      <c r="L607" s="20"/>
      <c r="M607" s="22"/>
      <c r="N607" s="6"/>
    </row>
    <row r="608" spans="6:14" x14ac:dyDescent="0.3">
      <c r="F608" s="16"/>
      <c r="G608" s="16"/>
      <c r="H608" s="16"/>
      <c r="J608" s="7"/>
      <c r="K608" s="6"/>
      <c r="L608" s="20"/>
      <c r="M608" s="22"/>
      <c r="N608" s="6"/>
    </row>
    <row r="609" spans="6:14" x14ac:dyDescent="0.3">
      <c r="F609" s="16"/>
      <c r="G609" s="16"/>
      <c r="H609" s="16"/>
      <c r="J609" s="7"/>
      <c r="K609" s="6"/>
      <c r="L609" s="20"/>
      <c r="M609" s="22"/>
      <c r="N609" s="6"/>
    </row>
    <row r="610" spans="6:14" x14ac:dyDescent="0.3">
      <c r="F610" s="16"/>
      <c r="G610" s="16"/>
      <c r="H610" s="16"/>
      <c r="J610" s="7"/>
      <c r="K610" s="6"/>
      <c r="L610" s="20"/>
      <c r="M610" s="22"/>
      <c r="N610" s="6"/>
    </row>
    <row r="611" spans="6:14" x14ac:dyDescent="0.3">
      <c r="F611" s="16"/>
      <c r="G611" s="16"/>
      <c r="H611" s="16"/>
      <c r="J611" s="7"/>
      <c r="K611" s="6"/>
      <c r="L611" s="20"/>
      <c r="M611" s="22"/>
      <c r="N611" s="6"/>
    </row>
    <row r="612" spans="6:14" x14ac:dyDescent="0.3">
      <c r="F612" s="16"/>
      <c r="G612" s="16"/>
      <c r="H612" s="16"/>
      <c r="J612" s="7"/>
      <c r="K612" s="6"/>
      <c r="L612" s="20"/>
      <c r="M612" s="22"/>
      <c r="N612" s="6"/>
    </row>
    <row r="613" spans="6:14" x14ac:dyDescent="0.3">
      <c r="F613" s="16"/>
      <c r="G613" s="16"/>
      <c r="H613" s="16"/>
      <c r="J613" s="7"/>
      <c r="K613" s="6"/>
      <c r="L613" s="20"/>
      <c r="M613" s="22"/>
      <c r="N613" s="6"/>
    </row>
    <row r="614" spans="6:14" x14ac:dyDescent="0.3">
      <c r="F614" s="16"/>
      <c r="G614" s="16"/>
      <c r="H614" s="16"/>
      <c r="J614" s="7"/>
      <c r="K614" s="6"/>
      <c r="L614" s="20"/>
      <c r="M614" s="22"/>
      <c r="N614" s="6"/>
    </row>
    <row r="615" spans="6:14" x14ac:dyDescent="0.3">
      <c r="F615" s="16"/>
      <c r="G615" s="16"/>
      <c r="H615" s="16"/>
      <c r="J615" s="7"/>
      <c r="K615" s="6"/>
      <c r="L615" s="20"/>
      <c r="M615" s="22"/>
      <c r="N615" s="6"/>
    </row>
    <row r="616" spans="6:14" x14ac:dyDescent="0.3">
      <c r="F616" s="16"/>
      <c r="G616" s="16"/>
      <c r="H616" s="16"/>
      <c r="J616" s="7"/>
      <c r="K616" s="6"/>
      <c r="L616" s="20"/>
      <c r="M616" s="22"/>
      <c r="N616" s="6"/>
    </row>
    <row r="617" spans="6:14" x14ac:dyDescent="0.3">
      <c r="F617" s="16"/>
      <c r="G617" s="16"/>
      <c r="H617" s="16"/>
      <c r="J617" s="7"/>
      <c r="K617" s="6"/>
      <c r="L617" s="20"/>
      <c r="M617" s="22"/>
      <c r="N617" s="6"/>
    </row>
    <row r="618" spans="6:14" x14ac:dyDescent="0.3">
      <c r="F618" s="16"/>
      <c r="G618" s="16"/>
      <c r="H618" s="16"/>
      <c r="J618" s="7"/>
      <c r="K618" s="6"/>
      <c r="L618" s="20"/>
      <c r="M618" s="22"/>
      <c r="N618" s="6"/>
    </row>
    <row r="619" spans="6:14" x14ac:dyDescent="0.3">
      <c r="F619" s="16"/>
      <c r="G619" s="16"/>
      <c r="H619" s="16"/>
      <c r="J619" s="7"/>
      <c r="K619" s="6"/>
      <c r="L619" s="20"/>
      <c r="M619" s="22"/>
      <c r="N619" s="6"/>
    </row>
    <row r="620" spans="6:14" x14ac:dyDescent="0.3">
      <c r="F620" s="16"/>
      <c r="G620" s="16"/>
      <c r="H620" s="16"/>
      <c r="J620" s="7"/>
      <c r="K620" s="6"/>
      <c r="L620" s="20"/>
      <c r="M620" s="22"/>
      <c r="N620" s="6"/>
    </row>
    <row r="621" spans="6:14" x14ac:dyDescent="0.3">
      <c r="F621" s="16"/>
      <c r="G621" s="16"/>
      <c r="H621" s="16"/>
      <c r="J621" s="7"/>
      <c r="K621" s="6"/>
      <c r="L621" s="20"/>
      <c r="M621" s="22"/>
      <c r="N621" s="6"/>
    </row>
    <row r="622" spans="6:14" x14ac:dyDescent="0.3">
      <c r="F622" s="16"/>
      <c r="G622" s="16"/>
      <c r="H622" s="16"/>
      <c r="J622" s="7"/>
      <c r="K622" s="6"/>
      <c r="L622" s="20"/>
      <c r="M622" s="22"/>
      <c r="N622" s="6"/>
    </row>
    <row r="623" spans="6:14" x14ac:dyDescent="0.3">
      <c r="F623" s="16"/>
      <c r="G623" s="16"/>
      <c r="H623" s="16"/>
      <c r="J623" s="7"/>
      <c r="K623" s="6"/>
      <c r="L623" s="20"/>
      <c r="M623" s="22"/>
      <c r="N623" s="6"/>
    </row>
    <row r="624" spans="6:14" x14ac:dyDescent="0.3">
      <c r="F624" s="16"/>
      <c r="G624" s="16"/>
      <c r="H624" s="16"/>
      <c r="J624" s="7"/>
      <c r="K624" s="6"/>
      <c r="L624" s="20"/>
      <c r="M624" s="22"/>
      <c r="N624" s="6"/>
    </row>
    <row r="625" spans="6:14" x14ac:dyDescent="0.3">
      <c r="F625" s="16"/>
      <c r="G625" s="16"/>
      <c r="H625" s="16"/>
      <c r="J625" s="7"/>
      <c r="K625" s="6"/>
      <c r="L625" s="20"/>
      <c r="M625" s="22"/>
      <c r="N625" s="6"/>
    </row>
    <row r="626" spans="6:14" x14ac:dyDescent="0.3">
      <c r="F626" s="16"/>
      <c r="G626" s="16"/>
      <c r="H626" s="16"/>
      <c r="J626" s="7"/>
      <c r="K626" s="6"/>
      <c r="L626" s="20"/>
      <c r="M626" s="22"/>
      <c r="N626" s="6"/>
    </row>
    <row r="627" spans="6:14" x14ac:dyDescent="0.3">
      <c r="F627" s="16"/>
      <c r="G627" s="16"/>
      <c r="H627" s="16"/>
      <c r="J627" s="7"/>
      <c r="K627" s="6"/>
      <c r="L627" s="20"/>
      <c r="M627" s="22"/>
      <c r="N627" s="6"/>
    </row>
    <row r="628" spans="6:14" x14ac:dyDescent="0.3">
      <c r="F628" s="16"/>
      <c r="G628" s="16"/>
      <c r="H628" s="16"/>
      <c r="J628" s="7"/>
      <c r="K628" s="6"/>
      <c r="L628" s="20"/>
      <c r="M628" s="22"/>
      <c r="N628" s="6"/>
    </row>
    <row r="629" spans="6:14" x14ac:dyDescent="0.3">
      <c r="F629" s="16"/>
      <c r="G629" s="16"/>
      <c r="H629" s="16"/>
      <c r="J629" s="7"/>
      <c r="K629" s="6"/>
      <c r="L629" s="20"/>
      <c r="M629" s="22"/>
      <c r="N629" s="6"/>
    </row>
    <row r="630" spans="6:14" x14ac:dyDescent="0.3">
      <c r="F630" s="16"/>
      <c r="G630" s="16"/>
      <c r="H630" s="16"/>
      <c r="J630" s="7"/>
      <c r="K630" s="6"/>
      <c r="L630" s="20"/>
      <c r="M630" s="22"/>
      <c r="N630" s="6"/>
    </row>
    <row r="631" spans="6:14" x14ac:dyDescent="0.3">
      <c r="F631" s="16"/>
      <c r="G631" s="16"/>
      <c r="H631" s="16"/>
      <c r="J631" s="7"/>
      <c r="K631" s="6"/>
      <c r="L631" s="20"/>
      <c r="M631" s="22"/>
      <c r="N631" s="6"/>
    </row>
    <row r="632" spans="6:14" x14ac:dyDescent="0.3">
      <c r="F632" s="16"/>
      <c r="G632" s="16"/>
      <c r="H632" s="16"/>
      <c r="J632" s="7"/>
      <c r="K632" s="6"/>
      <c r="L632" s="20"/>
      <c r="M632" s="22"/>
      <c r="N632" s="6"/>
    </row>
    <row r="633" spans="6:14" x14ac:dyDescent="0.3">
      <c r="F633" s="16"/>
      <c r="G633" s="16"/>
      <c r="H633" s="16"/>
      <c r="J633" s="7"/>
      <c r="K633" s="6"/>
      <c r="L633" s="20"/>
      <c r="M633" s="22"/>
      <c r="N633" s="6"/>
    </row>
    <row r="634" spans="6:14" x14ac:dyDescent="0.3">
      <c r="F634" s="16"/>
      <c r="G634" s="16"/>
      <c r="H634" s="16"/>
      <c r="J634" s="7"/>
      <c r="K634" s="6"/>
      <c r="L634" s="20"/>
      <c r="M634" s="22"/>
      <c r="N634" s="6"/>
    </row>
    <row r="635" spans="6:14" x14ac:dyDescent="0.3">
      <c r="F635" s="16"/>
      <c r="G635" s="16"/>
      <c r="H635" s="16"/>
      <c r="J635" s="7"/>
      <c r="K635" s="6"/>
      <c r="L635" s="20"/>
      <c r="M635" s="22"/>
      <c r="N635" s="6"/>
    </row>
    <row r="636" spans="6:14" x14ac:dyDescent="0.3">
      <c r="F636" s="16"/>
      <c r="G636" s="16"/>
      <c r="H636" s="16"/>
      <c r="J636" s="7"/>
      <c r="K636" s="6"/>
      <c r="L636" s="20"/>
      <c r="M636" s="22"/>
      <c r="N636" s="6"/>
    </row>
    <row r="637" spans="6:14" x14ac:dyDescent="0.3">
      <c r="F637" s="16"/>
      <c r="G637" s="16"/>
      <c r="H637" s="16"/>
      <c r="J637" s="7"/>
      <c r="K637" s="6"/>
      <c r="L637" s="20"/>
      <c r="M637" s="22"/>
      <c r="N637" s="6"/>
    </row>
    <row r="638" spans="6:14" x14ac:dyDescent="0.3">
      <c r="F638" s="16"/>
      <c r="G638" s="16"/>
      <c r="H638" s="16"/>
      <c r="J638" s="7"/>
      <c r="K638" s="6"/>
      <c r="L638" s="20"/>
      <c r="M638" s="22"/>
      <c r="N638" s="6"/>
    </row>
    <row r="639" spans="6:14" x14ac:dyDescent="0.3">
      <c r="F639" s="16"/>
      <c r="G639" s="16"/>
      <c r="H639" s="16"/>
      <c r="J639" s="7"/>
      <c r="K639" s="6"/>
      <c r="L639" s="20"/>
      <c r="M639" s="22"/>
      <c r="N639" s="6"/>
    </row>
    <row r="640" spans="6:14" x14ac:dyDescent="0.3">
      <c r="F640" s="16"/>
      <c r="G640" s="16"/>
      <c r="H640" s="16"/>
      <c r="J640" s="7"/>
      <c r="K640" s="6"/>
      <c r="L640" s="20"/>
      <c r="M640" s="22"/>
      <c r="N640" s="6"/>
    </row>
    <row r="641" spans="6:14" x14ac:dyDescent="0.3">
      <c r="F641" s="16"/>
      <c r="G641" s="16"/>
      <c r="H641" s="16"/>
      <c r="J641" s="7"/>
      <c r="K641" s="6"/>
      <c r="L641" s="20"/>
      <c r="M641" s="22"/>
      <c r="N641" s="6"/>
    </row>
    <row r="642" spans="6:14" x14ac:dyDescent="0.3">
      <c r="F642" s="16"/>
      <c r="G642" s="16"/>
      <c r="H642" s="16"/>
      <c r="J642" s="7"/>
      <c r="K642" s="6"/>
      <c r="L642" s="20"/>
      <c r="M642" s="22"/>
      <c r="N642" s="6"/>
    </row>
    <row r="643" spans="6:14" x14ac:dyDescent="0.3">
      <c r="F643" s="16"/>
      <c r="G643" s="16"/>
      <c r="H643" s="16"/>
      <c r="J643" s="7"/>
      <c r="K643" s="6"/>
      <c r="L643" s="20"/>
      <c r="M643" s="22"/>
      <c r="N643" s="6"/>
    </row>
    <row r="644" spans="6:14" x14ac:dyDescent="0.3">
      <c r="F644" s="16"/>
      <c r="G644" s="16"/>
      <c r="H644" s="16"/>
      <c r="J644" s="7"/>
      <c r="K644" s="6"/>
      <c r="L644" s="20"/>
      <c r="M644" s="22"/>
      <c r="N644" s="6"/>
    </row>
    <row r="645" spans="6:14" x14ac:dyDescent="0.3">
      <c r="F645" s="16"/>
      <c r="G645" s="16"/>
      <c r="H645" s="16"/>
      <c r="J645" s="7"/>
      <c r="K645" s="6"/>
      <c r="L645" s="20"/>
      <c r="M645" s="22"/>
      <c r="N645" s="6"/>
    </row>
    <row r="646" spans="6:14" x14ac:dyDescent="0.3">
      <c r="F646" s="16"/>
      <c r="G646" s="16"/>
      <c r="H646" s="16"/>
      <c r="J646" s="7"/>
      <c r="K646" s="6"/>
      <c r="L646" s="20"/>
      <c r="M646" s="22"/>
      <c r="N646" s="6"/>
    </row>
    <row r="647" spans="6:14" x14ac:dyDescent="0.3">
      <c r="F647" s="16"/>
      <c r="G647" s="16"/>
      <c r="H647" s="16"/>
      <c r="J647" s="7"/>
      <c r="K647" s="6"/>
      <c r="L647" s="20"/>
      <c r="M647" s="22"/>
      <c r="N647" s="6"/>
    </row>
    <row r="648" spans="6:14" x14ac:dyDescent="0.3">
      <c r="F648" s="16"/>
      <c r="G648" s="16"/>
      <c r="H648" s="16"/>
      <c r="J648" s="7"/>
      <c r="K648" s="6"/>
      <c r="L648" s="20"/>
      <c r="M648" s="22"/>
      <c r="N648" s="6"/>
    </row>
    <row r="649" spans="6:14" x14ac:dyDescent="0.3">
      <c r="F649" s="16"/>
      <c r="G649" s="16"/>
      <c r="H649" s="16"/>
      <c r="J649" s="7"/>
      <c r="K649" s="6"/>
      <c r="L649" s="20"/>
      <c r="M649" s="22"/>
      <c r="N649" s="6"/>
    </row>
    <row r="650" spans="6:14" x14ac:dyDescent="0.3">
      <c r="F650" s="16"/>
      <c r="G650" s="16"/>
      <c r="H650" s="16"/>
      <c r="J650" s="7"/>
      <c r="K650" s="6"/>
      <c r="L650" s="20"/>
      <c r="M650" s="22"/>
      <c r="N650" s="6"/>
    </row>
    <row r="651" spans="6:14" x14ac:dyDescent="0.3">
      <c r="F651" s="16"/>
      <c r="G651" s="16"/>
      <c r="H651" s="16"/>
      <c r="J651" s="7"/>
      <c r="K651" s="6"/>
      <c r="L651" s="20"/>
      <c r="M651" s="22"/>
      <c r="N651" s="6"/>
    </row>
    <row r="652" spans="6:14" x14ac:dyDescent="0.3">
      <c r="F652" s="16"/>
      <c r="G652" s="16"/>
      <c r="H652" s="16"/>
      <c r="J652" s="7"/>
      <c r="K652" s="6"/>
      <c r="L652" s="20"/>
      <c r="M652" s="22"/>
      <c r="N652" s="6"/>
    </row>
    <row r="653" spans="6:14" x14ac:dyDescent="0.3">
      <c r="F653" s="16"/>
      <c r="G653" s="16"/>
      <c r="H653" s="16"/>
      <c r="J653" s="7"/>
      <c r="K653" s="6"/>
      <c r="L653" s="20"/>
      <c r="M653" s="22"/>
      <c r="N653" s="6"/>
    </row>
    <row r="654" spans="6:14" x14ac:dyDescent="0.3">
      <c r="F654" s="16"/>
      <c r="G654" s="16"/>
      <c r="H654" s="16"/>
      <c r="J654" s="7"/>
      <c r="K654" s="6"/>
      <c r="L654" s="20"/>
      <c r="M654" s="22"/>
      <c r="N654" s="6"/>
    </row>
    <row r="655" spans="6:14" x14ac:dyDescent="0.3">
      <c r="F655" s="16"/>
      <c r="G655" s="16"/>
      <c r="H655" s="16"/>
      <c r="J655" s="7"/>
      <c r="K655" s="6"/>
      <c r="L655" s="20"/>
      <c r="M655" s="22"/>
      <c r="N655" s="6"/>
    </row>
    <row r="656" spans="6:14" x14ac:dyDescent="0.3">
      <c r="F656" s="16"/>
      <c r="G656" s="16"/>
      <c r="H656" s="16"/>
      <c r="J656" s="7"/>
      <c r="K656" s="6"/>
      <c r="L656" s="20"/>
      <c r="M656" s="22"/>
      <c r="N656" s="6"/>
    </row>
    <row r="657" spans="6:14" x14ac:dyDescent="0.3">
      <c r="F657" s="16"/>
      <c r="G657" s="16"/>
      <c r="H657" s="16"/>
      <c r="J657" s="7"/>
      <c r="K657" s="6"/>
      <c r="L657" s="20"/>
      <c r="M657" s="22"/>
      <c r="N657" s="6"/>
    </row>
    <row r="658" spans="6:14" x14ac:dyDescent="0.3">
      <c r="F658" s="16"/>
      <c r="G658" s="16"/>
      <c r="H658" s="16"/>
      <c r="J658" s="7"/>
      <c r="K658" s="6"/>
      <c r="L658" s="20"/>
      <c r="M658" s="22"/>
      <c r="N658" s="6"/>
    </row>
    <row r="659" spans="6:14" x14ac:dyDescent="0.3">
      <c r="F659" s="16"/>
      <c r="G659" s="16"/>
      <c r="H659" s="16"/>
      <c r="J659" s="7"/>
      <c r="K659" s="6"/>
      <c r="L659" s="20"/>
      <c r="M659" s="22"/>
      <c r="N659" s="6"/>
    </row>
    <row r="660" spans="6:14" x14ac:dyDescent="0.3">
      <c r="F660" s="16"/>
      <c r="G660" s="16"/>
      <c r="H660" s="16"/>
      <c r="J660" s="7"/>
      <c r="K660" s="6"/>
      <c r="L660" s="20"/>
      <c r="M660" s="22"/>
      <c r="N660" s="6"/>
    </row>
    <row r="661" spans="6:14" x14ac:dyDescent="0.3">
      <c r="F661" s="16"/>
      <c r="G661" s="16"/>
      <c r="H661" s="16"/>
      <c r="J661" s="7"/>
      <c r="K661" s="6"/>
      <c r="L661" s="20"/>
      <c r="M661" s="22"/>
      <c r="N661" s="6"/>
    </row>
    <row r="662" spans="6:14" x14ac:dyDescent="0.3">
      <c r="F662" s="16"/>
      <c r="G662" s="16"/>
      <c r="H662" s="16"/>
      <c r="J662" s="7"/>
      <c r="K662" s="6"/>
      <c r="L662" s="20"/>
      <c r="M662" s="22"/>
      <c r="N662" s="6"/>
    </row>
    <row r="663" spans="6:14" x14ac:dyDescent="0.3">
      <c r="F663" s="16"/>
      <c r="G663" s="16"/>
      <c r="H663" s="16"/>
      <c r="J663" s="7"/>
      <c r="K663" s="6"/>
      <c r="L663" s="20"/>
      <c r="M663" s="22"/>
      <c r="N663" s="6"/>
    </row>
    <row r="664" spans="6:14" x14ac:dyDescent="0.3">
      <c r="F664" s="16"/>
      <c r="G664" s="16"/>
      <c r="H664" s="16"/>
      <c r="J664" s="7"/>
      <c r="K664" s="6"/>
      <c r="L664" s="20"/>
      <c r="M664" s="22"/>
      <c r="N664" s="6"/>
    </row>
    <row r="665" spans="6:14" x14ac:dyDescent="0.3">
      <c r="F665" s="16"/>
      <c r="G665" s="16"/>
      <c r="H665" s="16"/>
      <c r="J665" s="7"/>
      <c r="K665" s="6"/>
      <c r="L665" s="20"/>
      <c r="M665" s="22"/>
      <c r="N665" s="6"/>
    </row>
    <row r="666" spans="6:14" x14ac:dyDescent="0.3">
      <c r="F666" s="16"/>
      <c r="G666" s="16"/>
      <c r="H666" s="16"/>
      <c r="J666" s="7"/>
      <c r="K666" s="6"/>
      <c r="L666" s="20"/>
      <c r="M666" s="22"/>
      <c r="N666" s="6"/>
    </row>
    <row r="667" spans="6:14" x14ac:dyDescent="0.3">
      <c r="F667" s="16"/>
      <c r="G667" s="16"/>
      <c r="H667" s="16"/>
      <c r="J667" s="7"/>
      <c r="K667" s="6"/>
      <c r="L667" s="20"/>
      <c r="M667" s="22"/>
      <c r="N667" s="6"/>
    </row>
    <row r="668" spans="6:14" x14ac:dyDescent="0.3">
      <c r="F668" s="16"/>
      <c r="G668" s="16"/>
      <c r="H668" s="16"/>
      <c r="J668" s="7"/>
      <c r="K668" s="6"/>
      <c r="L668" s="20"/>
      <c r="M668" s="22"/>
      <c r="N668" s="6"/>
    </row>
    <row r="669" spans="6:14" x14ac:dyDescent="0.3">
      <c r="F669" s="16"/>
      <c r="G669" s="16"/>
      <c r="H669" s="16"/>
      <c r="J669" s="7"/>
      <c r="K669" s="6"/>
      <c r="L669" s="20"/>
      <c r="M669" s="22"/>
      <c r="N669" s="6"/>
    </row>
    <row r="670" spans="6:14" x14ac:dyDescent="0.3">
      <c r="F670" s="16"/>
      <c r="G670" s="16"/>
      <c r="H670" s="16"/>
      <c r="J670" s="7"/>
      <c r="K670" s="6"/>
      <c r="L670" s="20"/>
      <c r="M670" s="22"/>
      <c r="N670" s="6"/>
    </row>
    <row r="671" spans="6:14" x14ac:dyDescent="0.3">
      <c r="F671" s="16"/>
      <c r="G671" s="16"/>
      <c r="H671" s="16"/>
      <c r="J671" s="7"/>
      <c r="K671" s="6"/>
      <c r="L671" s="20"/>
      <c r="M671" s="22"/>
      <c r="N671" s="6"/>
    </row>
    <row r="672" spans="6:14" x14ac:dyDescent="0.3">
      <c r="F672" s="16"/>
      <c r="G672" s="16"/>
      <c r="H672" s="16"/>
      <c r="J672" s="7"/>
      <c r="K672" s="6"/>
      <c r="L672" s="20"/>
      <c r="M672" s="22"/>
      <c r="N672" s="6"/>
    </row>
    <row r="673" spans="6:14" x14ac:dyDescent="0.3">
      <c r="F673" s="16"/>
      <c r="G673" s="16"/>
      <c r="H673" s="16"/>
      <c r="J673" s="7"/>
      <c r="K673" s="6"/>
      <c r="L673" s="20"/>
      <c r="M673" s="22"/>
      <c r="N673" s="6"/>
    </row>
    <row r="674" spans="6:14" x14ac:dyDescent="0.3">
      <c r="F674" s="16"/>
      <c r="G674" s="16"/>
      <c r="H674" s="16"/>
      <c r="J674" s="7"/>
      <c r="K674" s="6"/>
      <c r="L674" s="20"/>
      <c r="M674" s="22"/>
      <c r="N674" s="6"/>
    </row>
    <row r="675" spans="6:14" x14ac:dyDescent="0.3">
      <c r="F675" s="16"/>
      <c r="G675" s="16"/>
      <c r="H675" s="16"/>
      <c r="J675" s="7"/>
      <c r="K675" s="6"/>
      <c r="L675" s="20"/>
      <c r="M675" s="22"/>
      <c r="N675" s="6"/>
    </row>
    <row r="676" spans="6:14" x14ac:dyDescent="0.3">
      <c r="F676" s="16"/>
      <c r="G676" s="16"/>
      <c r="H676" s="16"/>
      <c r="J676" s="7"/>
      <c r="K676" s="6"/>
      <c r="L676" s="20"/>
      <c r="M676" s="22"/>
      <c r="N676" s="6"/>
    </row>
    <row r="677" spans="6:14" x14ac:dyDescent="0.3">
      <c r="F677" s="16"/>
      <c r="G677" s="16"/>
      <c r="H677" s="16"/>
      <c r="J677" s="7"/>
      <c r="K677" s="6"/>
      <c r="L677" s="20"/>
      <c r="M677" s="22"/>
      <c r="N677" s="6"/>
    </row>
    <row r="678" spans="6:14" x14ac:dyDescent="0.3">
      <c r="F678" s="16"/>
      <c r="G678" s="16"/>
      <c r="H678" s="16"/>
      <c r="J678" s="7"/>
      <c r="K678" s="6"/>
      <c r="L678" s="20"/>
      <c r="M678" s="22"/>
      <c r="N678" s="6"/>
    </row>
    <row r="679" spans="6:14" x14ac:dyDescent="0.3">
      <c r="F679" s="16"/>
      <c r="G679" s="16"/>
      <c r="H679" s="16"/>
      <c r="J679" s="7"/>
      <c r="K679" s="6"/>
      <c r="L679" s="20"/>
      <c r="M679" s="22"/>
      <c r="N679" s="6"/>
    </row>
    <row r="680" spans="6:14" x14ac:dyDescent="0.3">
      <c r="F680" s="16"/>
      <c r="G680" s="16"/>
      <c r="H680" s="16"/>
      <c r="J680" s="7"/>
      <c r="K680" s="6"/>
      <c r="L680" s="20"/>
      <c r="M680" s="22"/>
      <c r="N680" s="6"/>
    </row>
    <row r="681" spans="6:14" x14ac:dyDescent="0.3">
      <c r="F681" s="16"/>
      <c r="G681" s="16"/>
      <c r="H681" s="16"/>
      <c r="J681" s="7"/>
      <c r="K681" s="6"/>
      <c r="L681" s="20"/>
      <c r="M681" s="22"/>
      <c r="N681" s="6"/>
    </row>
    <row r="682" spans="6:14" x14ac:dyDescent="0.3">
      <c r="F682" s="16"/>
      <c r="G682" s="16"/>
      <c r="H682" s="16"/>
      <c r="J682" s="7"/>
      <c r="K682" s="6"/>
      <c r="L682" s="20"/>
      <c r="M682" s="22"/>
      <c r="N682" s="6"/>
    </row>
    <row r="683" spans="6:14" x14ac:dyDescent="0.3">
      <c r="F683" s="16"/>
      <c r="G683" s="16"/>
      <c r="H683" s="16"/>
      <c r="J683" s="7"/>
      <c r="K683" s="6"/>
      <c r="L683" s="20"/>
      <c r="M683" s="22"/>
      <c r="N683" s="6"/>
    </row>
    <row r="684" spans="6:14" x14ac:dyDescent="0.3">
      <c r="F684" s="16"/>
      <c r="G684" s="16"/>
      <c r="H684" s="16"/>
      <c r="J684" s="7"/>
      <c r="K684" s="6"/>
      <c r="L684" s="20"/>
      <c r="M684" s="22"/>
      <c r="N684" s="6"/>
    </row>
    <row r="685" spans="6:14" x14ac:dyDescent="0.3">
      <c r="F685" s="16"/>
      <c r="G685" s="16"/>
      <c r="H685" s="16"/>
      <c r="J685" s="7"/>
      <c r="K685" s="6"/>
      <c r="L685" s="20"/>
      <c r="M685" s="22"/>
      <c r="N685" s="6"/>
    </row>
    <row r="686" spans="6:14" x14ac:dyDescent="0.3">
      <c r="F686" s="16"/>
      <c r="G686" s="16"/>
      <c r="H686" s="16"/>
      <c r="J686" s="7"/>
      <c r="K686" s="6"/>
      <c r="L686" s="20"/>
      <c r="M686" s="22"/>
      <c r="N686" s="6"/>
    </row>
    <row r="687" spans="6:14" x14ac:dyDescent="0.3">
      <c r="F687" s="16"/>
      <c r="G687" s="16"/>
      <c r="H687" s="16"/>
      <c r="J687" s="7"/>
      <c r="K687" s="6"/>
      <c r="L687" s="20"/>
      <c r="M687" s="22"/>
      <c r="N687" s="6"/>
    </row>
    <row r="688" spans="6:14" x14ac:dyDescent="0.3">
      <c r="F688" s="16"/>
      <c r="G688" s="16"/>
      <c r="H688" s="16"/>
      <c r="J688" s="7"/>
      <c r="K688" s="6"/>
      <c r="L688" s="20"/>
      <c r="M688" s="22"/>
      <c r="N688" s="6"/>
    </row>
    <row r="689" spans="6:14" x14ac:dyDescent="0.3">
      <c r="F689" s="16"/>
      <c r="G689" s="16"/>
      <c r="H689" s="16"/>
      <c r="J689" s="7"/>
      <c r="K689" s="6"/>
      <c r="L689" s="20"/>
      <c r="M689" s="22"/>
      <c r="N689" s="6"/>
    </row>
    <row r="690" spans="6:14" x14ac:dyDescent="0.3">
      <c r="F690" s="16"/>
      <c r="G690" s="16"/>
      <c r="H690" s="16"/>
      <c r="J690" s="7"/>
      <c r="K690" s="6"/>
      <c r="L690" s="20"/>
      <c r="M690" s="22"/>
      <c r="N690" s="6"/>
    </row>
    <row r="691" spans="6:14" x14ac:dyDescent="0.3">
      <c r="F691" s="16"/>
      <c r="G691" s="16"/>
      <c r="H691" s="16"/>
      <c r="J691" s="7"/>
      <c r="K691" s="6"/>
      <c r="L691" s="20"/>
      <c r="M691" s="22"/>
      <c r="N691" s="6"/>
    </row>
    <row r="692" spans="6:14" x14ac:dyDescent="0.3">
      <c r="F692" s="16"/>
      <c r="G692" s="16"/>
      <c r="H692" s="16"/>
      <c r="J692" s="7"/>
      <c r="K692" s="6"/>
      <c r="L692" s="20"/>
      <c r="M692" s="22"/>
      <c r="N692" s="6"/>
    </row>
    <row r="693" spans="6:14" x14ac:dyDescent="0.3">
      <c r="F693" s="16"/>
      <c r="G693" s="16"/>
      <c r="H693" s="16"/>
      <c r="J693" s="7"/>
      <c r="K693" s="6"/>
      <c r="L693" s="20"/>
      <c r="M693" s="22"/>
      <c r="N693" s="6"/>
    </row>
    <row r="694" spans="6:14" x14ac:dyDescent="0.3">
      <c r="F694" s="16"/>
      <c r="G694" s="16"/>
      <c r="H694" s="16"/>
      <c r="J694" s="7"/>
      <c r="K694" s="6"/>
      <c r="L694" s="20"/>
      <c r="M694" s="22"/>
      <c r="N694" s="6"/>
    </row>
    <row r="695" spans="6:14" x14ac:dyDescent="0.3">
      <c r="F695" s="16"/>
      <c r="G695" s="16"/>
      <c r="H695" s="16"/>
      <c r="J695" s="7"/>
      <c r="K695" s="6"/>
      <c r="L695" s="20"/>
      <c r="M695" s="22"/>
      <c r="N695" s="6"/>
    </row>
    <row r="696" spans="6:14" x14ac:dyDescent="0.3">
      <c r="F696" s="16"/>
      <c r="G696" s="16"/>
      <c r="H696" s="16"/>
      <c r="J696" s="7"/>
      <c r="K696" s="6"/>
      <c r="L696" s="20"/>
      <c r="M696" s="22"/>
      <c r="N696" s="6"/>
    </row>
    <row r="697" spans="6:14" x14ac:dyDescent="0.3">
      <c r="F697" s="16"/>
      <c r="G697" s="16"/>
      <c r="H697" s="16"/>
      <c r="J697" s="7"/>
      <c r="K697" s="6"/>
      <c r="L697" s="20"/>
      <c r="M697" s="22"/>
      <c r="N697" s="6"/>
    </row>
    <row r="698" spans="6:14" x14ac:dyDescent="0.3">
      <c r="F698" s="16"/>
      <c r="G698" s="16"/>
      <c r="H698" s="16"/>
      <c r="J698" s="7"/>
      <c r="K698" s="6"/>
      <c r="L698" s="20"/>
      <c r="M698" s="22"/>
      <c r="N698" s="6"/>
    </row>
    <row r="699" spans="6:14" x14ac:dyDescent="0.3">
      <c r="F699" s="16"/>
      <c r="G699" s="16"/>
      <c r="H699" s="16"/>
      <c r="J699" s="7"/>
      <c r="K699" s="6"/>
      <c r="L699" s="20"/>
      <c r="M699" s="22"/>
      <c r="N699" s="6"/>
    </row>
    <row r="700" spans="6:14" x14ac:dyDescent="0.3">
      <c r="F700" s="16"/>
      <c r="G700" s="16"/>
      <c r="H700" s="16"/>
      <c r="J700" s="7"/>
      <c r="K700" s="6"/>
      <c r="L700" s="20"/>
      <c r="M700" s="22"/>
      <c r="N700" s="6"/>
    </row>
    <row r="701" spans="6:14" x14ac:dyDescent="0.3">
      <c r="F701" s="16"/>
      <c r="G701" s="16"/>
      <c r="H701" s="16"/>
      <c r="J701" s="7"/>
      <c r="K701" s="6"/>
      <c r="L701" s="20"/>
      <c r="M701" s="22"/>
      <c r="N701" s="6"/>
    </row>
    <row r="702" spans="6:14" x14ac:dyDescent="0.3">
      <c r="F702" s="16"/>
      <c r="G702" s="16"/>
      <c r="H702" s="16"/>
      <c r="J702" s="7"/>
      <c r="K702" s="6"/>
      <c r="L702" s="20"/>
      <c r="M702" s="22"/>
      <c r="N702" s="6"/>
    </row>
    <row r="703" spans="6:14" x14ac:dyDescent="0.3">
      <c r="F703" s="16"/>
      <c r="G703" s="16"/>
      <c r="H703" s="16"/>
      <c r="J703" s="7"/>
      <c r="K703" s="6"/>
      <c r="L703" s="20"/>
      <c r="M703" s="22"/>
      <c r="N703" s="6"/>
    </row>
    <row r="704" spans="6:14" x14ac:dyDescent="0.3">
      <c r="F704" s="16"/>
      <c r="G704" s="16"/>
      <c r="H704" s="16"/>
      <c r="J704" s="7"/>
      <c r="K704" s="6"/>
      <c r="L704" s="20"/>
      <c r="M704" s="22"/>
      <c r="N704" s="6"/>
    </row>
    <row r="705" spans="6:14" x14ac:dyDescent="0.3">
      <c r="F705" s="16"/>
      <c r="G705" s="16"/>
      <c r="H705" s="16"/>
      <c r="J705" s="7"/>
      <c r="K705" s="6"/>
      <c r="L705" s="20"/>
      <c r="M705" s="22"/>
      <c r="N705" s="6"/>
    </row>
    <row r="706" spans="6:14" x14ac:dyDescent="0.3">
      <c r="F706" s="16"/>
      <c r="G706" s="16"/>
      <c r="H706" s="16"/>
      <c r="J706" s="7"/>
      <c r="K706" s="6"/>
      <c r="L706" s="20"/>
      <c r="M706" s="22"/>
      <c r="N706" s="6"/>
    </row>
    <row r="707" spans="6:14" x14ac:dyDescent="0.3">
      <c r="F707" s="16"/>
      <c r="G707" s="16"/>
      <c r="H707" s="16"/>
      <c r="J707" s="7"/>
      <c r="K707" s="6"/>
      <c r="L707" s="20"/>
      <c r="M707" s="22"/>
      <c r="N707" s="6"/>
    </row>
    <row r="708" spans="6:14" x14ac:dyDescent="0.3">
      <c r="F708" s="16"/>
      <c r="G708" s="16"/>
      <c r="H708" s="16"/>
      <c r="J708" s="7"/>
      <c r="K708" s="6"/>
      <c r="L708" s="20"/>
      <c r="M708" s="22"/>
      <c r="N708" s="6"/>
    </row>
    <row r="709" spans="6:14" x14ac:dyDescent="0.3">
      <c r="F709" s="16"/>
      <c r="G709" s="16"/>
      <c r="H709" s="16"/>
      <c r="J709" s="7"/>
      <c r="K709" s="6"/>
      <c r="L709" s="20"/>
      <c r="M709" s="22"/>
      <c r="N709" s="6"/>
    </row>
    <row r="710" spans="6:14" x14ac:dyDescent="0.3">
      <c r="F710" s="16"/>
      <c r="G710" s="16"/>
      <c r="H710" s="16"/>
      <c r="J710" s="7"/>
      <c r="K710" s="6"/>
      <c r="L710" s="20"/>
      <c r="M710" s="22"/>
      <c r="N710" s="6"/>
    </row>
    <row r="711" spans="6:14" x14ac:dyDescent="0.3">
      <c r="F711" s="16"/>
      <c r="G711" s="16"/>
      <c r="H711" s="16"/>
      <c r="J711" s="7"/>
      <c r="K711" s="6"/>
      <c r="L711" s="20"/>
      <c r="M711" s="22"/>
      <c r="N711" s="6"/>
    </row>
    <row r="712" spans="6:14" x14ac:dyDescent="0.3">
      <c r="F712" s="16"/>
      <c r="G712" s="16"/>
      <c r="H712" s="16"/>
      <c r="J712" s="7"/>
      <c r="K712" s="6"/>
      <c r="L712" s="20"/>
      <c r="M712" s="22"/>
      <c r="N712" s="6"/>
    </row>
    <row r="713" spans="6:14" x14ac:dyDescent="0.3">
      <c r="F713" s="16"/>
      <c r="G713" s="16"/>
      <c r="H713" s="16"/>
      <c r="J713" s="7"/>
      <c r="K713" s="6"/>
      <c r="L713" s="20"/>
      <c r="M713" s="22"/>
      <c r="N713" s="6"/>
    </row>
    <row r="714" spans="6:14" x14ac:dyDescent="0.3">
      <c r="F714" s="16"/>
      <c r="G714" s="16"/>
      <c r="H714" s="16"/>
      <c r="J714" s="7"/>
      <c r="K714" s="6"/>
      <c r="L714" s="20"/>
      <c r="M714" s="22"/>
      <c r="N714" s="6"/>
    </row>
    <row r="715" spans="6:14" x14ac:dyDescent="0.3">
      <c r="F715" s="16"/>
      <c r="G715" s="16"/>
      <c r="H715" s="16"/>
      <c r="J715" s="7"/>
      <c r="K715" s="6"/>
      <c r="L715" s="20"/>
      <c r="M715" s="22"/>
      <c r="N715" s="6"/>
    </row>
    <row r="716" spans="6:14" x14ac:dyDescent="0.3">
      <c r="F716" s="16"/>
      <c r="G716" s="16"/>
      <c r="H716" s="16"/>
      <c r="J716" s="7"/>
      <c r="K716" s="6"/>
      <c r="L716" s="20"/>
      <c r="M716" s="22"/>
      <c r="N716" s="6"/>
    </row>
    <row r="717" spans="6:14" x14ac:dyDescent="0.3">
      <c r="F717" s="16"/>
      <c r="G717" s="16"/>
      <c r="H717" s="16"/>
      <c r="J717" s="7"/>
      <c r="K717" s="6"/>
      <c r="L717" s="20"/>
      <c r="M717" s="22"/>
      <c r="N717" s="6"/>
    </row>
    <row r="718" spans="6:14" x14ac:dyDescent="0.3">
      <c r="F718" s="16"/>
      <c r="G718" s="16"/>
      <c r="H718" s="16"/>
      <c r="J718" s="7"/>
      <c r="K718" s="6"/>
      <c r="L718" s="20"/>
      <c r="M718" s="22"/>
      <c r="N718" s="6"/>
    </row>
    <row r="719" spans="6:14" x14ac:dyDescent="0.3">
      <c r="F719" s="16"/>
      <c r="G719" s="16"/>
      <c r="H719" s="16"/>
      <c r="J719" s="7"/>
      <c r="K719" s="6"/>
      <c r="L719" s="20"/>
      <c r="M719" s="22"/>
      <c r="N719" s="6"/>
    </row>
    <row r="720" spans="6:14" x14ac:dyDescent="0.3">
      <c r="F720" s="16"/>
      <c r="G720" s="16"/>
      <c r="H720" s="16"/>
      <c r="J720" s="7"/>
      <c r="K720" s="6"/>
      <c r="L720" s="20"/>
      <c r="M720" s="22"/>
      <c r="N720" s="6"/>
    </row>
    <row r="721" spans="6:14" x14ac:dyDescent="0.3">
      <c r="F721" s="16"/>
      <c r="G721" s="16"/>
      <c r="H721" s="16"/>
      <c r="J721" s="7"/>
      <c r="K721" s="6"/>
      <c r="L721" s="20"/>
      <c r="M721" s="22"/>
      <c r="N721" s="6"/>
    </row>
    <row r="722" spans="6:14" x14ac:dyDescent="0.3">
      <c r="F722" s="16"/>
      <c r="G722" s="16"/>
      <c r="H722" s="16"/>
      <c r="J722" s="7"/>
      <c r="K722" s="6"/>
      <c r="L722" s="20"/>
      <c r="M722" s="22"/>
      <c r="N722" s="6"/>
    </row>
    <row r="723" spans="6:14" x14ac:dyDescent="0.3">
      <c r="F723" s="16"/>
      <c r="G723" s="16"/>
      <c r="H723" s="16"/>
      <c r="J723" s="7"/>
      <c r="K723" s="6"/>
      <c r="L723" s="20"/>
      <c r="M723" s="22"/>
      <c r="N723" s="6"/>
    </row>
    <row r="724" spans="6:14" x14ac:dyDescent="0.3">
      <c r="F724" s="16"/>
      <c r="G724" s="16"/>
      <c r="H724" s="16"/>
      <c r="J724" s="7"/>
      <c r="K724" s="6"/>
      <c r="L724" s="20"/>
      <c r="M724" s="22"/>
      <c r="N724" s="6"/>
    </row>
    <row r="725" spans="6:14" x14ac:dyDescent="0.3">
      <c r="F725" s="16"/>
      <c r="G725" s="16"/>
      <c r="H725" s="16"/>
      <c r="J725" s="7"/>
      <c r="K725" s="6"/>
      <c r="L725" s="20"/>
      <c r="M725" s="22"/>
      <c r="N725" s="6"/>
    </row>
    <row r="726" spans="6:14" x14ac:dyDescent="0.3">
      <c r="F726" s="16"/>
      <c r="G726" s="16"/>
      <c r="H726" s="16"/>
      <c r="J726" s="7"/>
      <c r="K726" s="6"/>
      <c r="L726" s="20"/>
      <c r="M726" s="22"/>
      <c r="N726" s="6"/>
    </row>
    <row r="727" spans="6:14" x14ac:dyDescent="0.3">
      <c r="F727" s="16"/>
      <c r="G727" s="16"/>
      <c r="H727" s="16"/>
      <c r="J727" s="7"/>
      <c r="K727" s="6"/>
      <c r="L727" s="20"/>
      <c r="M727" s="22"/>
      <c r="N727" s="6"/>
    </row>
    <row r="728" spans="6:14" x14ac:dyDescent="0.3">
      <c r="F728" s="16"/>
      <c r="G728" s="16"/>
      <c r="H728" s="16"/>
      <c r="J728" s="7"/>
      <c r="K728" s="6"/>
      <c r="L728" s="20"/>
      <c r="M728" s="22"/>
      <c r="N728" s="6"/>
    </row>
    <row r="729" spans="6:14" x14ac:dyDescent="0.3">
      <c r="F729" s="16"/>
      <c r="G729" s="16"/>
      <c r="H729" s="16"/>
      <c r="J729" s="7"/>
      <c r="K729" s="6"/>
      <c r="L729" s="20"/>
      <c r="M729" s="22"/>
      <c r="N729" s="6"/>
    </row>
    <row r="730" spans="6:14" x14ac:dyDescent="0.3">
      <c r="F730" s="16"/>
      <c r="G730" s="16"/>
      <c r="H730" s="16"/>
      <c r="J730" s="7"/>
      <c r="K730" s="6"/>
      <c r="L730" s="20"/>
      <c r="M730" s="22"/>
      <c r="N730" s="6"/>
    </row>
    <row r="731" spans="6:14" x14ac:dyDescent="0.3">
      <c r="F731" s="16"/>
      <c r="G731" s="16"/>
      <c r="H731" s="16"/>
      <c r="J731" s="7"/>
      <c r="K731" s="6"/>
      <c r="L731" s="20"/>
      <c r="M731" s="22"/>
      <c r="N731" s="6"/>
    </row>
    <row r="732" spans="6:14" x14ac:dyDescent="0.3">
      <c r="F732" s="16"/>
      <c r="G732" s="16"/>
      <c r="H732" s="16"/>
      <c r="J732" s="7"/>
      <c r="K732" s="6"/>
      <c r="L732" s="20"/>
      <c r="M732" s="22"/>
      <c r="N732" s="6"/>
    </row>
    <row r="733" spans="6:14" x14ac:dyDescent="0.3">
      <c r="F733" s="16"/>
      <c r="G733" s="16"/>
      <c r="H733" s="16"/>
      <c r="J733" s="7"/>
      <c r="K733" s="6"/>
      <c r="L733" s="20"/>
      <c r="M733" s="22"/>
      <c r="N733" s="6"/>
    </row>
    <row r="734" spans="6:14" x14ac:dyDescent="0.3">
      <c r="F734" s="16"/>
      <c r="G734" s="16"/>
      <c r="H734" s="16"/>
      <c r="J734" s="7"/>
      <c r="K734" s="6"/>
      <c r="L734" s="20"/>
      <c r="M734" s="22"/>
      <c r="N734" s="6"/>
    </row>
    <row r="735" spans="6:14" x14ac:dyDescent="0.3">
      <c r="F735" s="16"/>
      <c r="G735" s="16"/>
      <c r="H735" s="16"/>
      <c r="J735" s="7"/>
      <c r="K735" s="6"/>
      <c r="L735" s="20"/>
      <c r="M735" s="22"/>
      <c r="N735" s="6"/>
    </row>
    <row r="736" spans="6:14" x14ac:dyDescent="0.3">
      <c r="F736" s="16"/>
      <c r="G736" s="16"/>
      <c r="H736" s="16"/>
      <c r="J736" s="7"/>
      <c r="K736" s="6"/>
      <c r="L736" s="20"/>
      <c r="M736" s="22"/>
      <c r="N736" s="6"/>
    </row>
    <row r="737" spans="6:14" x14ac:dyDescent="0.3">
      <c r="F737" s="16"/>
      <c r="G737" s="16"/>
      <c r="H737" s="16"/>
      <c r="J737" s="7"/>
      <c r="K737" s="6"/>
      <c r="L737" s="20"/>
      <c r="M737" s="22"/>
      <c r="N737" s="6"/>
    </row>
    <row r="738" spans="6:14" x14ac:dyDescent="0.3">
      <c r="F738" s="16"/>
      <c r="G738" s="16"/>
      <c r="H738" s="16"/>
      <c r="J738" s="7"/>
      <c r="K738" s="6"/>
      <c r="L738" s="20"/>
      <c r="M738" s="22"/>
      <c r="N738" s="6"/>
    </row>
    <row r="739" spans="6:14" x14ac:dyDescent="0.3">
      <c r="F739" s="16"/>
      <c r="G739" s="16"/>
      <c r="H739" s="16"/>
      <c r="J739" s="7"/>
      <c r="K739" s="6"/>
      <c r="L739" s="20"/>
      <c r="M739" s="22"/>
      <c r="N739" s="6"/>
    </row>
    <row r="740" spans="6:14" x14ac:dyDescent="0.3">
      <c r="F740" s="16"/>
      <c r="G740" s="16"/>
      <c r="H740" s="16"/>
      <c r="J740" s="7"/>
      <c r="K740" s="6"/>
      <c r="L740" s="20"/>
      <c r="M740" s="22"/>
      <c r="N740" s="6"/>
    </row>
    <row r="741" spans="6:14" x14ac:dyDescent="0.3">
      <c r="F741" s="16"/>
      <c r="G741" s="16"/>
      <c r="H741" s="16"/>
      <c r="J741" s="7"/>
      <c r="K741" s="6"/>
      <c r="L741" s="20"/>
      <c r="M741" s="22"/>
      <c r="N741" s="6"/>
    </row>
    <row r="742" spans="6:14" x14ac:dyDescent="0.3">
      <c r="F742" s="16"/>
      <c r="G742" s="16"/>
      <c r="H742" s="16"/>
      <c r="J742" s="7"/>
      <c r="K742" s="6"/>
      <c r="L742" s="20"/>
      <c r="M742" s="22"/>
      <c r="N742" s="6"/>
    </row>
    <row r="743" spans="6:14" x14ac:dyDescent="0.3">
      <c r="F743" s="16"/>
      <c r="G743" s="16"/>
      <c r="H743" s="16"/>
      <c r="J743" s="7"/>
      <c r="K743" s="6"/>
      <c r="L743" s="20"/>
      <c r="M743" s="22"/>
      <c r="N743" s="6"/>
    </row>
    <row r="744" spans="6:14" x14ac:dyDescent="0.3">
      <c r="F744" s="16"/>
      <c r="G744" s="16"/>
      <c r="H744" s="16"/>
      <c r="J744" s="7"/>
      <c r="K744" s="6"/>
      <c r="L744" s="20"/>
      <c r="M744" s="22"/>
      <c r="N744" s="6"/>
    </row>
    <row r="745" spans="6:14" x14ac:dyDescent="0.3">
      <c r="F745" s="16"/>
      <c r="G745" s="16"/>
      <c r="H745" s="16"/>
      <c r="J745" s="7"/>
      <c r="K745" s="6"/>
      <c r="L745" s="20"/>
      <c r="M745" s="22"/>
      <c r="N745" s="6"/>
    </row>
    <row r="746" spans="6:14" x14ac:dyDescent="0.3">
      <c r="F746" s="16"/>
      <c r="G746" s="16"/>
      <c r="H746" s="16"/>
      <c r="J746" s="7"/>
      <c r="K746" s="6"/>
      <c r="L746" s="20"/>
      <c r="M746" s="22"/>
      <c r="N746" s="6"/>
    </row>
    <row r="747" spans="6:14" x14ac:dyDescent="0.3">
      <c r="F747" s="16"/>
      <c r="G747" s="16"/>
      <c r="H747" s="16"/>
      <c r="J747" s="7"/>
      <c r="K747" s="6"/>
      <c r="L747" s="20"/>
      <c r="M747" s="22"/>
      <c r="N747" s="6"/>
    </row>
    <row r="748" spans="6:14" x14ac:dyDescent="0.3">
      <c r="F748" s="16"/>
      <c r="G748" s="16"/>
      <c r="H748" s="16"/>
      <c r="J748" s="7"/>
      <c r="K748" s="6"/>
      <c r="L748" s="20"/>
      <c r="M748" s="22"/>
      <c r="N748" s="6"/>
    </row>
    <row r="749" spans="6:14" x14ac:dyDescent="0.3">
      <c r="F749" s="16"/>
      <c r="G749" s="16"/>
      <c r="H749" s="16"/>
      <c r="J749" s="7"/>
      <c r="K749" s="6"/>
      <c r="L749" s="20"/>
      <c r="M749" s="22"/>
      <c r="N749" s="6"/>
    </row>
    <row r="750" spans="6:14" x14ac:dyDescent="0.3">
      <c r="F750" s="16"/>
      <c r="G750" s="16"/>
      <c r="H750" s="16"/>
      <c r="J750" s="7"/>
      <c r="K750" s="6"/>
      <c r="L750" s="20"/>
      <c r="M750" s="22"/>
      <c r="N750" s="6"/>
    </row>
    <row r="751" spans="6:14" x14ac:dyDescent="0.3">
      <c r="F751" s="16"/>
      <c r="G751" s="16"/>
      <c r="H751" s="16"/>
      <c r="J751" s="7"/>
      <c r="K751" s="6"/>
      <c r="L751" s="20"/>
      <c r="M751" s="22"/>
      <c r="N751" s="6"/>
    </row>
    <row r="752" spans="6:14" x14ac:dyDescent="0.3">
      <c r="F752" s="16"/>
      <c r="G752" s="16"/>
      <c r="H752" s="16"/>
      <c r="J752" s="7"/>
      <c r="K752" s="6"/>
      <c r="L752" s="20"/>
      <c r="M752" s="22"/>
      <c r="N752" s="6"/>
    </row>
    <row r="753" spans="6:14" x14ac:dyDescent="0.3">
      <c r="F753" s="16"/>
      <c r="G753" s="16"/>
      <c r="H753" s="16"/>
      <c r="J753" s="7"/>
      <c r="K753" s="6"/>
      <c r="L753" s="20"/>
      <c r="M753" s="22"/>
      <c r="N753" s="6"/>
    </row>
    <row r="754" spans="6:14" x14ac:dyDescent="0.3">
      <c r="F754" s="16"/>
      <c r="G754" s="16"/>
      <c r="H754" s="16"/>
      <c r="J754" s="7"/>
      <c r="K754" s="6"/>
      <c r="L754" s="20"/>
      <c r="M754" s="22"/>
      <c r="N754" s="6"/>
    </row>
    <row r="755" spans="6:14" x14ac:dyDescent="0.3">
      <c r="F755" s="16"/>
      <c r="G755" s="16"/>
      <c r="H755" s="16"/>
      <c r="J755" s="7"/>
      <c r="K755" s="6"/>
      <c r="L755" s="20"/>
      <c r="M755" s="22"/>
      <c r="N755" s="6"/>
    </row>
    <row r="756" spans="6:14" x14ac:dyDescent="0.3">
      <c r="F756" s="16"/>
      <c r="G756" s="16"/>
      <c r="H756" s="16"/>
      <c r="J756" s="7"/>
      <c r="K756" s="6"/>
      <c r="L756" s="20"/>
      <c r="M756" s="22"/>
      <c r="N756" s="6"/>
    </row>
    <row r="757" spans="6:14" x14ac:dyDescent="0.3">
      <c r="F757" s="16"/>
      <c r="G757" s="16"/>
      <c r="H757" s="16"/>
      <c r="J757" s="7"/>
      <c r="K757" s="6"/>
      <c r="L757" s="20"/>
      <c r="M757" s="22"/>
      <c r="N757" s="6"/>
    </row>
    <row r="758" spans="6:14" x14ac:dyDescent="0.3">
      <c r="F758" s="16"/>
      <c r="G758" s="16"/>
      <c r="H758" s="16"/>
      <c r="J758" s="7"/>
      <c r="K758" s="6"/>
      <c r="L758" s="20"/>
      <c r="M758" s="22"/>
      <c r="N758" s="6"/>
    </row>
    <row r="759" spans="6:14" x14ac:dyDescent="0.3">
      <c r="F759" s="16"/>
      <c r="G759" s="16"/>
      <c r="H759" s="16"/>
      <c r="J759" s="7"/>
      <c r="K759" s="6"/>
      <c r="L759" s="20"/>
      <c r="M759" s="22"/>
      <c r="N759" s="6"/>
    </row>
    <row r="760" spans="6:14" x14ac:dyDescent="0.3">
      <c r="F760" s="16"/>
      <c r="G760" s="16"/>
      <c r="H760" s="16"/>
      <c r="J760" s="7"/>
      <c r="K760" s="6"/>
      <c r="L760" s="20"/>
      <c r="M760" s="22"/>
      <c r="N760" s="6"/>
    </row>
    <row r="761" spans="6:14" x14ac:dyDescent="0.3">
      <c r="F761" s="16"/>
      <c r="G761" s="16"/>
      <c r="H761" s="16"/>
      <c r="J761" s="7"/>
      <c r="K761" s="6"/>
      <c r="L761" s="20"/>
      <c r="M761" s="22"/>
      <c r="N761" s="6"/>
    </row>
    <row r="762" spans="6:14" x14ac:dyDescent="0.3">
      <c r="F762" s="16"/>
      <c r="G762" s="16"/>
      <c r="H762" s="16"/>
      <c r="J762" s="7"/>
      <c r="K762" s="6"/>
      <c r="L762" s="20"/>
      <c r="M762" s="22"/>
      <c r="N762" s="6"/>
    </row>
    <row r="763" spans="6:14" x14ac:dyDescent="0.3">
      <c r="F763" s="16"/>
      <c r="G763" s="16"/>
      <c r="H763" s="16"/>
      <c r="J763" s="7"/>
      <c r="K763" s="6"/>
      <c r="L763" s="20"/>
      <c r="M763" s="22"/>
      <c r="N763" s="6"/>
    </row>
    <row r="764" spans="6:14" x14ac:dyDescent="0.3">
      <c r="F764" s="16"/>
      <c r="G764" s="16"/>
      <c r="H764" s="16"/>
      <c r="J764" s="7"/>
      <c r="K764" s="6"/>
      <c r="L764" s="20"/>
      <c r="M764" s="22"/>
      <c r="N764" s="6"/>
    </row>
    <row r="765" spans="6:14" x14ac:dyDescent="0.3">
      <c r="F765" s="16"/>
      <c r="G765" s="16"/>
      <c r="H765" s="16"/>
      <c r="J765" s="7"/>
      <c r="K765" s="6"/>
      <c r="L765" s="20"/>
      <c r="M765" s="22"/>
      <c r="N765" s="6"/>
    </row>
    <row r="766" spans="6:14" x14ac:dyDescent="0.3">
      <c r="F766" s="16"/>
      <c r="G766" s="16"/>
      <c r="H766" s="16"/>
      <c r="J766" s="7"/>
      <c r="K766" s="6"/>
      <c r="L766" s="20"/>
      <c r="M766" s="22"/>
      <c r="N766" s="6"/>
    </row>
    <row r="767" spans="6:14" x14ac:dyDescent="0.3">
      <c r="F767" s="16"/>
      <c r="G767" s="16"/>
      <c r="H767" s="16"/>
      <c r="J767" s="7"/>
      <c r="K767" s="6"/>
      <c r="L767" s="20"/>
      <c r="M767" s="22"/>
      <c r="N767" s="6"/>
    </row>
    <row r="768" spans="6:14" x14ac:dyDescent="0.3">
      <c r="F768" s="16"/>
      <c r="G768" s="16"/>
      <c r="H768" s="16"/>
      <c r="J768" s="7"/>
      <c r="K768" s="6"/>
      <c r="L768" s="20"/>
      <c r="M768" s="22"/>
      <c r="N768" s="6"/>
    </row>
    <row r="769" spans="6:14" x14ac:dyDescent="0.3">
      <c r="F769" s="16"/>
      <c r="G769" s="16"/>
      <c r="H769" s="16"/>
      <c r="J769" s="7"/>
      <c r="K769" s="6"/>
      <c r="L769" s="20"/>
      <c r="M769" s="22"/>
      <c r="N769" s="6"/>
    </row>
    <row r="770" spans="6:14" x14ac:dyDescent="0.3">
      <c r="F770" s="16"/>
      <c r="G770" s="16"/>
      <c r="H770" s="16"/>
      <c r="J770" s="7"/>
      <c r="K770" s="6"/>
      <c r="L770" s="20"/>
      <c r="M770" s="22"/>
      <c r="N770" s="6"/>
    </row>
    <row r="771" spans="6:14" x14ac:dyDescent="0.3">
      <c r="F771" s="16"/>
      <c r="G771" s="16"/>
      <c r="H771" s="16"/>
      <c r="J771" s="7"/>
      <c r="K771" s="6"/>
      <c r="L771" s="20"/>
      <c r="M771" s="22"/>
      <c r="N771" s="6"/>
    </row>
    <row r="772" spans="6:14" x14ac:dyDescent="0.3">
      <c r="F772" s="16"/>
      <c r="G772" s="16"/>
      <c r="H772" s="16"/>
      <c r="J772" s="7"/>
      <c r="K772" s="6"/>
      <c r="L772" s="20"/>
      <c r="M772" s="22"/>
      <c r="N772" s="6"/>
    </row>
    <row r="773" spans="6:14" x14ac:dyDescent="0.3">
      <c r="F773" s="16"/>
      <c r="G773" s="16"/>
      <c r="H773" s="16"/>
      <c r="J773" s="7"/>
      <c r="K773" s="6"/>
      <c r="L773" s="20"/>
      <c r="M773" s="22"/>
      <c r="N773" s="6"/>
    </row>
    <row r="774" spans="6:14" x14ac:dyDescent="0.3">
      <c r="F774" s="16"/>
      <c r="G774" s="16"/>
      <c r="H774" s="16"/>
      <c r="J774" s="7"/>
      <c r="K774" s="6"/>
      <c r="L774" s="20"/>
      <c r="M774" s="22"/>
      <c r="N774" s="6"/>
    </row>
    <row r="775" spans="6:14" x14ac:dyDescent="0.3">
      <c r="F775" s="16"/>
      <c r="G775" s="16"/>
      <c r="H775" s="16"/>
      <c r="J775" s="7"/>
      <c r="K775" s="6"/>
      <c r="L775" s="20"/>
      <c r="M775" s="22"/>
      <c r="N775" s="6"/>
    </row>
    <row r="776" spans="6:14" x14ac:dyDescent="0.3">
      <c r="F776" s="16"/>
      <c r="G776" s="16"/>
      <c r="H776" s="16"/>
      <c r="J776" s="7"/>
      <c r="K776" s="6"/>
      <c r="L776" s="20"/>
      <c r="M776" s="22"/>
      <c r="N776" s="6"/>
    </row>
    <row r="777" spans="6:14" x14ac:dyDescent="0.3">
      <c r="F777" s="16"/>
      <c r="G777" s="16"/>
      <c r="H777" s="16"/>
      <c r="J777" s="7"/>
      <c r="K777" s="6"/>
      <c r="L777" s="20"/>
      <c r="M777" s="22"/>
      <c r="N777" s="6"/>
    </row>
    <row r="778" spans="6:14" x14ac:dyDescent="0.3">
      <c r="F778" s="16"/>
      <c r="G778" s="16"/>
      <c r="H778" s="16"/>
      <c r="J778" s="7"/>
      <c r="K778" s="6"/>
      <c r="L778" s="20"/>
      <c r="M778" s="22"/>
      <c r="N778" s="6"/>
    </row>
    <row r="779" spans="6:14" x14ac:dyDescent="0.3">
      <c r="F779" s="16"/>
      <c r="G779" s="16"/>
      <c r="H779" s="16"/>
      <c r="J779" s="7"/>
      <c r="K779" s="6"/>
      <c r="L779" s="20"/>
      <c r="M779" s="22"/>
      <c r="N779" s="6"/>
    </row>
    <row r="780" spans="6:14" x14ac:dyDescent="0.3">
      <c r="F780" s="16"/>
      <c r="G780" s="16"/>
      <c r="H780" s="16"/>
      <c r="J780" s="7"/>
      <c r="K780" s="6"/>
      <c r="L780" s="20"/>
      <c r="M780" s="22"/>
      <c r="N780" s="6"/>
    </row>
    <row r="781" spans="6:14" x14ac:dyDescent="0.3">
      <c r="F781" s="16"/>
      <c r="G781" s="16"/>
      <c r="H781" s="16"/>
      <c r="J781" s="7"/>
      <c r="K781" s="6"/>
      <c r="L781" s="20"/>
      <c r="M781" s="22"/>
      <c r="N781" s="6"/>
    </row>
    <row r="782" spans="6:14" x14ac:dyDescent="0.3">
      <c r="F782" s="16"/>
      <c r="G782" s="16"/>
      <c r="H782" s="16"/>
      <c r="J782" s="7"/>
      <c r="K782" s="6"/>
      <c r="L782" s="20"/>
      <c r="M782" s="22"/>
      <c r="N782" s="6"/>
    </row>
    <row r="783" spans="6:14" x14ac:dyDescent="0.3">
      <c r="F783" s="16"/>
      <c r="G783" s="16"/>
      <c r="H783" s="16"/>
      <c r="J783" s="7"/>
      <c r="K783" s="6"/>
      <c r="L783" s="20"/>
      <c r="M783" s="22"/>
      <c r="N783" s="6"/>
    </row>
    <row r="784" spans="6:14" x14ac:dyDescent="0.3">
      <c r="F784" s="16"/>
      <c r="G784" s="16"/>
      <c r="H784" s="16"/>
      <c r="J784" s="7"/>
      <c r="K784" s="6"/>
      <c r="L784" s="20"/>
      <c r="M784" s="22"/>
      <c r="N784" s="6"/>
    </row>
    <row r="785" spans="6:14" x14ac:dyDescent="0.3">
      <c r="F785" s="16"/>
      <c r="G785" s="16"/>
      <c r="H785" s="16"/>
      <c r="J785" s="7"/>
      <c r="K785" s="6"/>
      <c r="L785" s="20"/>
      <c r="M785" s="22"/>
      <c r="N785" s="6"/>
    </row>
    <row r="786" spans="6:14" x14ac:dyDescent="0.3">
      <c r="F786" s="16"/>
      <c r="G786" s="16"/>
      <c r="H786" s="16"/>
      <c r="J786" s="7"/>
      <c r="K786" s="6"/>
      <c r="L786" s="20"/>
      <c r="M786" s="22"/>
      <c r="N786" s="6"/>
    </row>
    <row r="787" spans="6:14" x14ac:dyDescent="0.3">
      <c r="F787" s="16"/>
      <c r="G787" s="16"/>
      <c r="H787" s="16"/>
      <c r="J787" s="7"/>
      <c r="K787" s="6"/>
      <c r="L787" s="20"/>
      <c r="M787" s="22"/>
      <c r="N787" s="6"/>
    </row>
    <row r="788" spans="6:14" x14ac:dyDescent="0.3">
      <c r="F788" s="16"/>
      <c r="G788" s="16"/>
      <c r="H788" s="16"/>
      <c r="J788" s="7"/>
      <c r="K788" s="6"/>
      <c r="L788" s="20"/>
      <c r="M788" s="22"/>
      <c r="N788" s="6"/>
    </row>
    <row r="789" spans="6:14" x14ac:dyDescent="0.3">
      <c r="F789" s="16"/>
      <c r="G789" s="16"/>
      <c r="H789" s="16"/>
      <c r="J789" s="7"/>
      <c r="K789" s="6"/>
      <c r="L789" s="20"/>
      <c r="M789" s="22"/>
      <c r="N789" s="6"/>
    </row>
    <row r="790" spans="6:14" x14ac:dyDescent="0.3">
      <c r="F790" s="16"/>
      <c r="G790" s="16"/>
      <c r="H790" s="16"/>
      <c r="J790" s="7"/>
      <c r="K790" s="6"/>
      <c r="L790" s="20"/>
      <c r="M790" s="22"/>
      <c r="N790" s="6"/>
    </row>
    <row r="791" spans="6:14" x14ac:dyDescent="0.3">
      <c r="F791" s="16"/>
      <c r="G791" s="16"/>
      <c r="H791" s="16"/>
      <c r="J791" s="7"/>
      <c r="K791" s="6"/>
      <c r="L791" s="20"/>
      <c r="M791" s="22"/>
      <c r="N791" s="6"/>
    </row>
    <row r="792" spans="6:14" x14ac:dyDescent="0.3">
      <c r="F792" s="16"/>
      <c r="G792" s="16"/>
      <c r="H792" s="16"/>
      <c r="J792" s="7"/>
      <c r="K792" s="6"/>
      <c r="L792" s="20"/>
      <c r="M792" s="22"/>
      <c r="N792" s="6"/>
    </row>
    <row r="793" spans="6:14" x14ac:dyDescent="0.3">
      <c r="F793" s="16"/>
      <c r="G793" s="16"/>
      <c r="H793" s="16"/>
      <c r="J793" s="7"/>
      <c r="K793" s="6"/>
      <c r="L793" s="20"/>
      <c r="M793" s="22"/>
      <c r="N793" s="6"/>
    </row>
    <row r="794" spans="6:14" x14ac:dyDescent="0.3">
      <c r="F794" s="16"/>
      <c r="G794" s="16"/>
      <c r="H794" s="16"/>
      <c r="J794" s="7"/>
      <c r="K794" s="6"/>
      <c r="L794" s="20"/>
      <c r="M794" s="22"/>
      <c r="N794" s="6"/>
    </row>
    <row r="795" spans="6:14" x14ac:dyDescent="0.3">
      <c r="F795" s="16"/>
      <c r="G795" s="16"/>
      <c r="H795" s="16"/>
      <c r="J795" s="7"/>
      <c r="K795" s="6"/>
      <c r="L795" s="20"/>
      <c r="M795" s="22"/>
      <c r="N795" s="6"/>
    </row>
    <row r="796" spans="6:14" x14ac:dyDescent="0.3">
      <c r="F796" s="16"/>
      <c r="G796" s="16"/>
      <c r="H796" s="16"/>
      <c r="J796" s="7"/>
      <c r="K796" s="6"/>
      <c r="L796" s="20"/>
      <c r="M796" s="22"/>
      <c r="N796" s="6"/>
    </row>
    <row r="797" spans="6:14" x14ac:dyDescent="0.3">
      <c r="F797" s="16"/>
      <c r="G797" s="16"/>
      <c r="H797" s="16"/>
      <c r="J797" s="7"/>
      <c r="K797" s="6"/>
      <c r="L797" s="20"/>
      <c r="M797" s="22"/>
      <c r="N797" s="6"/>
    </row>
    <row r="798" spans="6:14" x14ac:dyDescent="0.3">
      <c r="F798" s="16"/>
      <c r="G798" s="16"/>
      <c r="H798" s="16"/>
      <c r="J798" s="7"/>
      <c r="K798" s="6"/>
      <c r="L798" s="20"/>
      <c r="M798" s="22"/>
      <c r="N798" s="6"/>
    </row>
    <row r="799" spans="6:14" x14ac:dyDescent="0.3">
      <c r="F799" s="16"/>
      <c r="G799" s="16"/>
      <c r="H799" s="16"/>
      <c r="J799" s="7"/>
      <c r="K799" s="6"/>
      <c r="L799" s="20"/>
      <c r="M799" s="22"/>
      <c r="N799" s="6"/>
    </row>
    <row r="800" spans="6:14" x14ac:dyDescent="0.3">
      <c r="F800" s="16"/>
      <c r="G800" s="16"/>
      <c r="H800" s="16"/>
      <c r="J800" s="7"/>
      <c r="K800" s="6"/>
      <c r="L800" s="20"/>
      <c r="M800" s="22"/>
      <c r="N800" s="6"/>
    </row>
    <row r="801" spans="6:14" x14ac:dyDescent="0.3">
      <c r="F801" s="16"/>
      <c r="G801" s="16"/>
      <c r="H801" s="16"/>
      <c r="J801" s="7"/>
      <c r="K801" s="6"/>
      <c r="L801" s="20"/>
      <c r="M801" s="22"/>
      <c r="N801" s="6"/>
    </row>
    <row r="802" spans="6:14" x14ac:dyDescent="0.3">
      <c r="F802" s="16"/>
      <c r="G802" s="16"/>
      <c r="H802" s="16"/>
      <c r="J802" s="7"/>
      <c r="K802" s="6"/>
      <c r="L802" s="20"/>
      <c r="M802" s="22"/>
      <c r="N802" s="6"/>
    </row>
    <row r="803" spans="6:14" x14ac:dyDescent="0.3">
      <c r="F803" s="16"/>
      <c r="G803" s="16"/>
      <c r="H803" s="16"/>
      <c r="J803" s="7"/>
      <c r="K803" s="6"/>
      <c r="L803" s="20"/>
      <c r="M803" s="22"/>
      <c r="N803" s="6"/>
    </row>
    <row r="804" spans="6:14" x14ac:dyDescent="0.3">
      <c r="F804" s="16"/>
      <c r="G804" s="16"/>
      <c r="H804" s="16"/>
      <c r="J804" s="7"/>
      <c r="K804" s="6"/>
      <c r="L804" s="20"/>
      <c r="M804" s="22"/>
      <c r="N804" s="6"/>
    </row>
    <row r="805" spans="6:14" x14ac:dyDescent="0.3">
      <c r="F805" s="16"/>
      <c r="G805" s="16"/>
      <c r="H805" s="16"/>
      <c r="J805" s="7"/>
      <c r="K805" s="6"/>
      <c r="L805" s="20"/>
      <c r="M805" s="22"/>
      <c r="N805" s="6"/>
    </row>
    <row r="806" spans="6:14" x14ac:dyDescent="0.3">
      <c r="F806" s="16"/>
      <c r="G806" s="16"/>
      <c r="H806" s="16"/>
      <c r="J806" s="7"/>
      <c r="K806" s="6"/>
      <c r="L806" s="20"/>
      <c r="M806" s="22"/>
      <c r="N806" s="6"/>
    </row>
    <row r="807" spans="6:14" x14ac:dyDescent="0.3">
      <c r="F807" s="16"/>
      <c r="G807" s="16"/>
      <c r="H807" s="16"/>
      <c r="J807" s="7"/>
      <c r="K807" s="6"/>
      <c r="L807" s="20"/>
      <c r="M807" s="22"/>
      <c r="N807" s="6"/>
    </row>
    <row r="808" spans="6:14" x14ac:dyDescent="0.3">
      <c r="F808" s="16"/>
      <c r="G808" s="16"/>
      <c r="H808" s="16"/>
      <c r="J808" s="7"/>
      <c r="K808" s="6"/>
      <c r="L808" s="20"/>
      <c r="M808" s="22"/>
      <c r="N808" s="6"/>
    </row>
    <row r="809" spans="6:14" x14ac:dyDescent="0.3">
      <c r="F809" s="16"/>
      <c r="G809" s="16"/>
      <c r="H809" s="16"/>
      <c r="J809" s="7"/>
      <c r="K809" s="6"/>
      <c r="L809" s="20"/>
      <c r="M809" s="22"/>
      <c r="N809" s="6"/>
    </row>
    <row r="810" spans="6:14" x14ac:dyDescent="0.3">
      <c r="F810" s="16"/>
      <c r="G810" s="16"/>
      <c r="H810" s="16"/>
      <c r="J810" s="7"/>
      <c r="K810" s="6"/>
      <c r="L810" s="20"/>
      <c r="M810" s="22"/>
      <c r="N810" s="6"/>
    </row>
    <row r="811" spans="6:14" x14ac:dyDescent="0.3">
      <c r="F811" s="16"/>
      <c r="G811" s="16"/>
      <c r="H811" s="16"/>
      <c r="J811" s="7"/>
      <c r="K811" s="6"/>
      <c r="L811" s="20"/>
      <c r="M811" s="22"/>
      <c r="N811" s="6"/>
    </row>
    <row r="812" spans="6:14" x14ac:dyDescent="0.3">
      <c r="F812" s="16"/>
      <c r="G812" s="16"/>
      <c r="H812" s="16"/>
      <c r="J812" s="7"/>
      <c r="K812" s="6"/>
      <c r="L812" s="20"/>
      <c r="M812" s="22"/>
      <c r="N812" s="6"/>
    </row>
    <row r="813" spans="6:14" x14ac:dyDescent="0.3">
      <c r="F813" s="16"/>
      <c r="G813" s="16"/>
      <c r="H813" s="16"/>
      <c r="J813" s="7"/>
      <c r="K813" s="6"/>
      <c r="L813" s="20"/>
      <c r="M813" s="22"/>
      <c r="N813" s="6"/>
    </row>
    <row r="814" spans="6:14" x14ac:dyDescent="0.3">
      <c r="F814" s="16"/>
      <c r="G814" s="16"/>
      <c r="H814" s="16"/>
      <c r="J814" s="7"/>
      <c r="K814" s="6"/>
      <c r="L814" s="20"/>
      <c r="M814" s="22"/>
      <c r="N814" s="6"/>
    </row>
    <row r="815" spans="6:14" x14ac:dyDescent="0.3">
      <c r="F815" s="16"/>
      <c r="G815" s="16"/>
      <c r="H815" s="16"/>
      <c r="J815" s="7"/>
      <c r="K815" s="6"/>
      <c r="L815" s="20"/>
      <c r="M815" s="22"/>
      <c r="N815" s="6"/>
    </row>
    <row r="816" spans="6:14" x14ac:dyDescent="0.3">
      <c r="F816" s="16"/>
      <c r="G816" s="16"/>
      <c r="H816" s="16"/>
      <c r="J816" s="7"/>
      <c r="K816" s="6"/>
      <c r="L816" s="20"/>
      <c r="M816" s="22"/>
      <c r="N816" s="6"/>
    </row>
    <row r="817" spans="6:14" x14ac:dyDescent="0.3">
      <c r="F817" s="16"/>
      <c r="G817" s="16"/>
      <c r="H817" s="16"/>
      <c r="J817" s="7"/>
      <c r="K817" s="6"/>
      <c r="L817" s="20"/>
      <c r="M817" s="22"/>
      <c r="N817" s="6"/>
    </row>
    <row r="818" spans="6:14" x14ac:dyDescent="0.3">
      <c r="F818" s="16"/>
      <c r="G818" s="16"/>
      <c r="H818" s="16"/>
      <c r="J818" s="7"/>
      <c r="K818" s="6"/>
      <c r="L818" s="20"/>
      <c r="M818" s="22"/>
      <c r="N818" s="6"/>
    </row>
    <row r="819" spans="6:14" x14ac:dyDescent="0.3">
      <c r="F819" s="16"/>
      <c r="G819" s="16"/>
      <c r="H819" s="16"/>
      <c r="J819" s="7"/>
      <c r="K819" s="6"/>
      <c r="L819" s="20"/>
      <c r="M819" s="22"/>
      <c r="N819" s="6"/>
    </row>
    <row r="820" spans="6:14" x14ac:dyDescent="0.3">
      <c r="F820" s="16"/>
      <c r="G820" s="16"/>
      <c r="H820" s="16"/>
      <c r="J820" s="7"/>
      <c r="K820" s="6"/>
      <c r="L820" s="20"/>
      <c r="M820" s="22"/>
      <c r="N820" s="6"/>
    </row>
    <row r="821" spans="6:14" x14ac:dyDescent="0.3">
      <c r="F821" s="16"/>
      <c r="G821" s="16"/>
      <c r="H821" s="16"/>
      <c r="J821" s="7"/>
      <c r="K821" s="6"/>
      <c r="L821" s="20"/>
      <c r="M821" s="22"/>
      <c r="N821" s="6"/>
    </row>
    <row r="822" spans="6:14" x14ac:dyDescent="0.3">
      <c r="F822" s="16"/>
      <c r="G822" s="16"/>
      <c r="H822" s="16"/>
      <c r="J822" s="7"/>
      <c r="K822" s="6"/>
      <c r="L822" s="20"/>
      <c r="M822" s="22"/>
      <c r="N822" s="6"/>
    </row>
    <row r="823" spans="6:14" x14ac:dyDescent="0.3">
      <c r="F823" s="16"/>
      <c r="G823" s="16"/>
      <c r="H823" s="16"/>
      <c r="J823" s="7"/>
      <c r="K823" s="6"/>
      <c r="L823" s="20"/>
      <c r="M823" s="22"/>
      <c r="N823" s="6"/>
    </row>
    <row r="824" spans="6:14" x14ac:dyDescent="0.3">
      <c r="F824" s="16"/>
      <c r="G824" s="16"/>
      <c r="H824" s="16"/>
      <c r="J824" s="7"/>
      <c r="K824" s="6"/>
      <c r="L824" s="20"/>
      <c r="M824" s="22"/>
      <c r="N824" s="6"/>
    </row>
    <row r="825" spans="6:14" x14ac:dyDescent="0.3">
      <c r="F825" s="16"/>
      <c r="G825" s="16"/>
      <c r="H825" s="16"/>
      <c r="J825" s="7"/>
      <c r="K825" s="6"/>
      <c r="L825" s="20"/>
      <c r="M825" s="22"/>
      <c r="N825" s="6"/>
    </row>
    <row r="826" spans="6:14" x14ac:dyDescent="0.3">
      <c r="F826" s="16"/>
      <c r="G826" s="16"/>
      <c r="H826" s="16"/>
      <c r="J826" s="7"/>
      <c r="K826" s="6"/>
      <c r="L826" s="20"/>
      <c r="M826" s="22"/>
      <c r="N826" s="6"/>
    </row>
    <row r="827" spans="6:14" x14ac:dyDescent="0.3">
      <c r="F827" s="16"/>
      <c r="G827" s="16"/>
      <c r="H827" s="16"/>
      <c r="J827" s="7"/>
      <c r="K827" s="6"/>
      <c r="L827" s="20"/>
      <c r="M827" s="22"/>
      <c r="N827" s="6"/>
    </row>
    <row r="828" spans="6:14" x14ac:dyDescent="0.3">
      <c r="F828" s="16"/>
      <c r="G828" s="16"/>
      <c r="H828" s="16"/>
      <c r="J828" s="7"/>
      <c r="K828" s="6"/>
      <c r="L828" s="20"/>
      <c r="M828" s="22"/>
      <c r="N828" s="6"/>
    </row>
    <row r="829" spans="6:14" x14ac:dyDescent="0.3">
      <c r="F829" s="16"/>
      <c r="G829" s="16"/>
      <c r="H829" s="16"/>
      <c r="J829" s="7"/>
      <c r="K829" s="6"/>
      <c r="L829" s="20"/>
      <c r="M829" s="22"/>
      <c r="N829" s="6"/>
    </row>
    <row r="830" spans="6:14" x14ac:dyDescent="0.3">
      <c r="F830" s="16"/>
      <c r="G830" s="16"/>
      <c r="H830" s="16"/>
      <c r="J830" s="7"/>
      <c r="K830" s="6"/>
      <c r="L830" s="20"/>
      <c r="M830" s="22"/>
      <c r="N830" s="6"/>
    </row>
    <row r="831" spans="6:14" x14ac:dyDescent="0.3">
      <c r="F831" s="16"/>
      <c r="G831" s="16"/>
      <c r="H831" s="16"/>
      <c r="J831" s="7"/>
      <c r="K831" s="6"/>
      <c r="L831" s="20"/>
      <c r="M831" s="22"/>
      <c r="N831" s="6"/>
    </row>
    <row r="832" spans="6:14" x14ac:dyDescent="0.3">
      <c r="F832" s="16"/>
      <c r="G832" s="16"/>
      <c r="H832" s="16"/>
      <c r="J832" s="7"/>
      <c r="K832" s="6"/>
      <c r="L832" s="20"/>
      <c r="M832" s="22"/>
      <c r="N832" s="6"/>
    </row>
    <row r="833" spans="6:14" x14ac:dyDescent="0.3">
      <c r="F833" s="16"/>
      <c r="G833" s="16"/>
      <c r="H833" s="16"/>
      <c r="J833" s="7"/>
      <c r="K833" s="6"/>
      <c r="L833" s="20"/>
      <c r="M833" s="22"/>
      <c r="N833" s="6"/>
    </row>
    <row r="834" spans="6:14" x14ac:dyDescent="0.3">
      <c r="F834" s="16"/>
      <c r="G834" s="16"/>
      <c r="H834" s="16"/>
      <c r="J834" s="7"/>
      <c r="K834" s="6"/>
      <c r="L834" s="20"/>
      <c r="M834" s="22"/>
      <c r="N834" s="6"/>
    </row>
    <row r="835" spans="6:14" x14ac:dyDescent="0.3">
      <c r="F835" s="16"/>
      <c r="G835" s="16"/>
      <c r="H835" s="16"/>
      <c r="J835" s="7"/>
      <c r="K835" s="6"/>
      <c r="L835" s="20"/>
      <c r="M835" s="22"/>
      <c r="N835" s="6"/>
    </row>
    <row r="836" spans="6:14" x14ac:dyDescent="0.3">
      <c r="F836" s="16"/>
      <c r="G836" s="16"/>
      <c r="H836" s="16"/>
      <c r="J836" s="7"/>
      <c r="K836" s="6"/>
      <c r="L836" s="20"/>
      <c r="M836" s="22"/>
      <c r="N836" s="6"/>
    </row>
    <row r="837" spans="6:14" x14ac:dyDescent="0.3">
      <c r="F837" s="16"/>
      <c r="G837" s="16"/>
      <c r="H837" s="16"/>
      <c r="J837" s="7"/>
      <c r="K837" s="6"/>
      <c r="L837" s="20"/>
      <c r="M837" s="22"/>
      <c r="N837" s="6"/>
    </row>
    <row r="838" spans="6:14" x14ac:dyDescent="0.3">
      <c r="F838" s="16"/>
      <c r="G838" s="16"/>
      <c r="H838" s="16"/>
      <c r="J838" s="7"/>
      <c r="K838" s="6"/>
      <c r="L838" s="20"/>
      <c r="M838" s="22"/>
      <c r="N838" s="6"/>
    </row>
    <row r="839" spans="6:14" x14ac:dyDescent="0.3">
      <c r="F839" s="16"/>
      <c r="G839" s="16"/>
      <c r="H839" s="16"/>
      <c r="J839" s="7"/>
      <c r="K839" s="6"/>
      <c r="L839" s="20"/>
      <c r="M839" s="22"/>
      <c r="N839" s="6"/>
    </row>
    <row r="840" spans="6:14" x14ac:dyDescent="0.3">
      <c r="F840" s="16"/>
      <c r="G840" s="16"/>
      <c r="H840" s="16"/>
      <c r="J840" s="7"/>
      <c r="K840" s="6"/>
      <c r="L840" s="20"/>
      <c r="M840" s="22"/>
      <c r="N840" s="6"/>
    </row>
    <row r="841" spans="6:14" x14ac:dyDescent="0.3">
      <c r="F841" s="16"/>
      <c r="G841" s="16"/>
      <c r="H841" s="16"/>
      <c r="J841" s="7"/>
      <c r="K841" s="6"/>
      <c r="L841" s="20"/>
      <c r="M841" s="22"/>
      <c r="N841" s="6"/>
    </row>
    <row r="842" spans="6:14" x14ac:dyDescent="0.3">
      <c r="F842" s="16"/>
      <c r="G842" s="16"/>
      <c r="H842" s="16"/>
      <c r="J842" s="7"/>
      <c r="K842" s="6"/>
      <c r="L842" s="20"/>
      <c r="M842" s="22"/>
      <c r="N842" s="6"/>
    </row>
    <row r="843" spans="6:14" x14ac:dyDescent="0.3">
      <c r="F843" s="16"/>
      <c r="G843" s="16"/>
      <c r="H843" s="16"/>
      <c r="J843" s="7"/>
      <c r="K843" s="6"/>
      <c r="L843" s="20"/>
      <c r="M843" s="22"/>
      <c r="N843" s="6"/>
    </row>
    <row r="844" spans="6:14" x14ac:dyDescent="0.3">
      <c r="F844" s="16"/>
      <c r="G844" s="16"/>
      <c r="H844" s="16"/>
      <c r="J844" s="7"/>
      <c r="K844" s="6"/>
      <c r="L844" s="20"/>
      <c r="M844" s="22"/>
      <c r="N844" s="6"/>
    </row>
    <row r="845" spans="6:14" x14ac:dyDescent="0.3">
      <c r="F845" s="16"/>
      <c r="G845" s="16"/>
      <c r="H845" s="16"/>
      <c r="J845" s="7"/>
      <c r="K845" s="6"/>
      <c r="L845" s="20"/>
      <c r="M845" s="22"/>
      <c r="N845" s="6"/>
    </row>
    <row r="846" spans="6:14" x14ac:dyDescent="0.3">
      <c r="F846" s="16"/>
      <c r="G846" s="16"/>
      <c r="H846" s="16"/>
      <c r="J846" s="7"/>
      <c r="K846" s="6"/>
      <c r="L846" s="20"/>
      <c r="M846" s="22"/>
      <c r="N846" s="6"/>
    </row>
    <row r="847" spans="6:14" x14ac:dyDescent="0.3">
      <c r="F847" s="16"/>
      <c r="G847" s="16"/>
      <c r="H847" s="16"/>
      <c r="J847" s="7"/>
      <c r="K847" s="6"/>
      <c r="L847" s="20"/>
      <c r="M847" s="22"/>
      <c r="N847" s="6"/>
    </row>
    <row r="848" spans="6:14" x14ac:dyDescent="0.3">
      <c r="F848" s="16"/>
      <c r="G848" s="16"/>
      <c r="H848" s="16"/>
      <c r="J848" s="7"/>
      <c r="K848" s="6"/>
      <c r="L848" s="20"/>
      <c r="M848" s="22"/>
      <c r="N848" s="6"/>
    </row>
    <row r="849" spans="6:14" x14ac:dyDescent="0.3">
      <c r="F849" s="16"/>
      <c r="G849" s="16"/>
      <c r="H849" s="16"/>
      <c r="J849" s="7"/>
      <c r="K849" s="6"/>
      <c r="L849" s="20"/>
      <c r="M849" s="22"/>
      <c r="N849" s="6"/>
    </row>
    <row r="850" spans="6:14" x14ac:dyDescent="0.3">
      <c r="F850" s="16"/>
      <c r="G850" s="16"/>
      <c r="H850" s="16"/>
      <c r="J850" s="7"/>
      <c r="K850" s="6"/>
      <c r="L850" s="20"/>
      <c r="M850" s="22"/>
      <c r="N850" s="6"/>
    </row>
    <row r="851" spans="6:14" x14ac:dyDescent="0.3">
      <c r="F851" s="16"/>
      <c r="G851" s="16"/>
      <c r="H851" s="16"/>
      <c r="J851" s="7"/>
      <c r="K851" s="6"/>
      <c r="L851" s="20"/>
      <c r="M851" s="22"/>
      <c r="N851" s="6"/>
    </row>
    <row r="852" spans="6:14" x14ac:dyDescent="0.3">
      <c r="F852" s="16"/>
      <c r="G852" s="16"/>
      <c r="H852" s="16"/>
      <c r="J852" s="7"/>
      <c r="K852" s="6"/>
      <c r="L852" s="20"/>
      <c r="M852" s="22"/>
      <c r="N852" s="6"/>
    </row>
    <row r="853" spans="6:14" x14ac:dyDescent="0.3">
      <c r="F853" s="16"/>
      <c r="G853" s="16"/>
      <c r="H853" s="16"/>
      <c r="J853" s="7"/>
      <c r="K853" s="6"/>
      <c r="L853" s="20"/>
      <c r="M853" s="22"/>
      <c r="N853" s="6"/>
    </row>
    <row r="854" spans="6:14" x14ac:dyDescent="0.3">
      <c r="F854" s="16"/>
      <c r="G854" s="16"/>
      <c r="H854" s="16"/>
      <c r="J854" s="7"/>
      <c r="K854" s="6"/>
      <c r="L854" s="20"/>
      <c r="M854" s="22"/>
      <c r="N854" s="6"/>
    </row>
    <row r="855" spans="6:14" x14ac:dyDescent="0.3">
      <c r="F855" s="16"/>
      <c r="G855" s="16"/>
      <c r="H855" s="16"/>
      <c r="J855" s="7"/>
      <c r="K855" s="6"/>
      <c r="L855" s="20"/>
      <c r="M855" s="22"/>
      <c r="N855" s="6"/>
    </row>
    <row r="856" spans="6:14" x14ac:dyDescent="0.3">
      <c r="F856" s="16"/>
      <c r="G856" s="16"/>
      <c r="H856" s="16"/>
      <c r="J856" s="7"/>
      <c r="K856" s="6"/>
      <c r="L856" s="20"/>
      <c r="M856" s="22"/>
      <c r="N856" s="6"/>
    </row>
    <row r="857" spans="6:14" x14ac:dyDescent="0.3">
      <c r="F857" s="16"/>
      <c r="G857" s="16"/>
      <c r="H857" s="16"/>
      <c r="J857" s="7"/>
      <c r="K857" s="6"/>
      <c r="L857" s="20"/>
      <c r="M857" s="22"/>
      <c r="N857" s="6"/>
    </row>
    <row r="858" spans="6:14" x14ac:dyDescent="0.3">
      <c r="F858" s="16"/>
      <c r="G858" s="16"/>
      <c r="H858" s="16"/>
      <c r="J858" s="7"/>
      <c r="K858" s="6"/>
      <c r="L858" s="20"/>
      <c r="M858" s="22"/>
      <c r="N858" s="6"/>
    </row>
    <row r="859" spans="6:14" x14ac:dyDescent="0.3">
      <c r="F859" s="16"/>
      <c r="G859" s="16"/>
      <c r="H859" s="16"/>
      <c r="J859" s="7"/>
      <c r="K859" s="6"/>
      <c r="L859" s="20"/>
      <c r="M859" s="22"/>
      <c r="N859" s="6"/>
    </row>
    <row r="860" spans="6:14" x14ac:dyDescent="0.3">
      <c r="F860" s="16"/>
      <c r="G860" s="16"/>
      <c r="H860" s="16"/>
      <c r="J860" s="7"/>
      <c r="K860" s="6"/>
      <c r="L860" s="20"/>
      <c r="M860" s="22"/>
      <c r="N860" s="6"/>
    </row>
    <row r="861" spans="6:14" x14ac:dyDescent="0.3">
      <c r="F861" s="16"/>
      <c r="G861" s="16"/>
      <c r="H861" s="16"/>
      <c r="J861" s="7"/>
      <c r="K861" s="6"/>
      <c r="L861" s="20"/>
      <c r="M861" s="22"/>
      <c r="N861" s="6"/>
    </row>
    <row r="862" spans="6:14" x14ac:dyDescent="0.3">
      <c r="F862" s="16"/>
      <c r="G862" s="16"/>
      <c r="H862" s="16"/>
      <c r="J862" s="7"/>
      <c r="K862" s="6"/>
      <c r="L862" s="20"/>
      <c r="M862" s="22"/>
      <c r="N862" s="6"/>
    </row>
    <row r="863" spans="6:14" x14ac:dyDescent="0.3">
      <c r="F863" s="16"/>
      <c r="G863" s="16"/>
      <c r="H863" s="16"/>
      <c r="J863" s="7"/>
      <c r="K863" s="6"/>
      <c r="L863" s="20"/>
      <c r="M863" s="22"/>
      <c r="N863" s="6"/>
    </row>
    <row r="864" spans="6:14" x14ac:dyDescent="0.3">
      <c r="F864" s="16"/>
      <c r="G864" s="16"/>
      <c r="H864" s="16"/>
      <c r="J864" s="7"/>
      <c r="K864" s="6"/>
      <c r="L864" s="20"/>
      <c r="M864" s="22"/>
      <c r="N864" s="6"/>
    </row>
    <row r="865" spans="6:14" x14ac:dyDescent="0.3">
      <c r="F865" s="16"/>
      <c r="G865" s="16"/>
      <c r="H865" s="16"/>
      <c r="J865" s="7"/>
      <c r="K865" s="6"/>
      <c r="L865" s="20"/>
      <c r="M865" s="22"/>
      <c r="N865" s="6"/>
    </row>
    <row r="866" spans="6:14" x14ac:dyDescent="0.3">
      <c r="F866" s="16"/>
      <c r="G866" s="16"/>
      <c r="H866" s="16"/>
      <c r="J866" s="7"/>
      <c r="K866" s="6"/>
      <c r="L866" s="20"/>
      <c r="M866" s="22"/>
      <c r="N866" s="6"/>
    </row>
    <row r="867" spans="6:14" x14ac:dyDescent="0.3">
      <c r="F867" s="16"/>
      <c r="G867" s="16"/>
      <c r="H867" s="16"/>
      <c r="J867" s="7"/>
      <c r="K867" s="6"/>
      <c r="L867" s="20"/>
      <c r="M867" s="22"/>
      <c r="N867" s="6"/>
    </row>
    <row r="868" spans="6:14" x14ac:dyDescent="0.3">
      <c r="F868" s="16"/>
      <c r="G868" s="16"/>
      <c r="H868" s="16"/>
      <c r="J868" s="7"/>
      <c r="K868" s="6"/>
      <c r="L868" s="20"/>
      <c r="M868" s="22"/>
      <c r="N868" s="6"/>
    </row>
    <row r="869" spans="6:14" x14ac:dyDescent="0.3">
      <c r="F869" s="16"/>
      <c r="G869" s="16"/>
      <c r="H869" s="16"/>
      <c r="J869" s="7"/>
      <c r="K869" s="6"/>
      <c r="L869" s="20"/>
      <c r="M869" s="22"/>
      <c r="N869" s="6"/>
    </row>
    <row r="870" spans="6:14" x14ac:dyDescent="0.3">
      <c r="F870" s="16"/>
      <c r="G870" s="16"/>
      <c r="H870" s="16"/>
      <c r="J870" s="7"/>
      <c r="K870" s="6"/>
      <c r="L870" s="20"/>
      <c r="M870" s="22"/>
      <c r="N870" s="6"/>
    </row>
    <row r="871" spans="6:14" x14ac:dyDescent="0.3">
      <c r="F871" s="16"/>
      <c r="G871" s="16"/>
      <c r="H871" s="16"/>
      <c r="J871" s="7"/>
      <c r="K871" s="6"/>
      <c r="L871" s="20"/>
      <c r="M871" s="22"/>
      <c r="N871" s="6"/>
    </row>
    <row r="872" spans="6:14" x14ac:dyDescent="0.3">
      <c r="F872" s="16"/>
      <c r="G872" s="16"/>
      <c r="H872" s="16"/>
      <c r="J872" s="7"/>
      <c r="K872" s="6"/>
      <c r="L872" s="20"/>
      <c r="M872" s="22"/>
      <c r="N872" s="6"/>
    </row>
    <row r="873" spans="6:14" x14ac:dyDescent="0.3">
      <c r="F873" s="16"/>
      <c r="G873" s="16"/>
      <c r="H873" s="16"/>
      <c r="J873" s="7"/>
      <c r="K873" s="6"/>
      <c r="L873" s="20"/>
      <c r="M873" s="22"/>
      <c r="N873" s="6"/>
    </row>
    <row r="874" spans="6:14" x14ac:dyDescent="0.3">
      <c r="F874" s="16"/>
      <c r="G874" s="16"/>
      <c r="H874" s="16"/>
      <c r="J874" s="7"/>
      <c r="K874" s="6"/>
      <c r="L874" s="20"/>
      <c r="M874" s="22"/>
      <c r="N874" s="6"/>
    </row>
    <row r="875" spans="6:14" x14ac:dyDescent="0.3">
      <c r="F875" s="16"/>
      <c r="G875" s="16"/>
      <c r="H875" s="16"/>
      <c r="J875" s="7"/>
      <c r="K875" s="6"/>
      <c r="L875" s="20"/>
      <c r="M875" s="22"/>
      <c r="N875" s="6"/>
    </row>
    <row r="876" spans="6:14" x14ac:dyDescent="0.3">
      <c r="F876" s="16"/>
      <c r="G876" s="16"/>
      <c r="H876" s="16"/>
      <c r="J876" s="7"/>
      <c r="K876" s="6"/>
      <c r="L876" s="20"/>
      <c r="M876" s="22"/>
      <c r="N876" s="6"/>
    </row>
    <row r="877" spans="6:14" x14ac:dyDescent="0.3">
      <c r="F877" s="16"/>
      <c r="G877" s="16"/>
      <c r="H877" s="16"/>
      <c r="J877" s="7"/>
      <c r="K877" s="6"/>
      <c r="L877" s="20"/>
      <c r="M877" s="22"/>
      <c r="N877" s="6"/>
    </row>
    <row r="878" spans="6:14" x14ac:dyDescent="0.3">
      <c r="F878" s="16"/>
      <c r="G878" s="16"/>
      <c r="H878" s="16"/>
      <c r="J878" s="7"/>
      <c r="K878" s="6"/>
      <c r="L878" s="20"/>
      <c r="M878" s="22"/>
      <c r="N878" s="6"/>
    </row>
    <row r="879" spans="6:14" x14ac:dyDescent="0.3">
      <c r="F879" s="16"/>
      <c r="G879" s="16"/>
      <c r="H879" s="16"/>
      <c r="J879" s="7"/>
      <c r="K879" s="6"/>
      <c r="L879" s="20"/>
      <c r="M879" s="22"/>
      <c r="N879" s="6"/>
    </row>
    <row r="880" spans="6:14" x14ac:dyDescent="0.3">
      <c r="F880" s="16"/>
      <c r="G880" s="16"/>
      <c r="H880" s="16"/>
      <c r="J880" s="7"/>
      <c r="K880" s="6"/>
      <c r="L880" s="20"/>
      <c r="M880" s="22"/>
      <c r="N880" s="6"/>
    </row>
    <row r="881" spans="6:14" x14ac:dyDescent="0.3">
      <c r="F881" s="16"/>
      <c r="G881" s="16"/>
      <c r="H881" s="16"/>
      <c r="J881" s="7"/>
      <c r="K881" s="6"/>
      <c r="L881" s="20"/>
      <c r="M881" s="22"/>
      <c r="N881" s="6"/>
    </row>
    <row r="882" spans="6:14" x14ac:dyDescent="0.3">
      <c r="F882" s="16"/>
      <c r="G882" s="16"/>
      <c r="H882" s="16"/>
      <c r="J882" s="7"/>
      <c r="K882" s="6"/>
      <c r="L882" s="20"/>
      <c r="M882" s="22"/>
      <c r="N882" s="6"/>
    </row>
    <row r="883" spans="6:14" x14ac:dyDescent="0.3">
      <c r="F883" s="16"/>
      <c r="G883" s="16"/>
      <c r="H883" s="16"/>
      <c r="J883" s="7"/>
      <c r="K883" s="6"/>
      <c r="L883" s="20"/>
      <c r="M883" s="22"/>
      <c r="N883" s="6"/>
    </row>
    <row r="884" spans="6:14" x14ac:dyDescent="0.3">
      <c r="F884" s="16"/>
      <c r="G884" s="16"/>
      <c r="H884" s="16"/>
      <c r="J884" s="7"/>
      <c r="K884" s="6"/>
      <c r="L884" s="20"/>
      <c r="M884" s="22"/>
      <c r="N884" s="6"/>
    </row>
    <row r="885" spans="6:14" x14ac:dyDescent="0.3">
      <c r="F885" s="16"/>
      <c r="G885" s="16"/>
      <c r="H885" s="16"/>
      <c r="J885" s="7"/>
      <c r="K885" s="6"/>
      <c r="L885" s="20"/>
      <c r="M885" s="22"/>
      <c r="N885" s="6"/>
    </row>
    <row r="886" spans="6:14" x14ac:dyDescent="0.3">
      <c r="F886" s="16"/>
      <c r="G886" s="16"/>
      <c r="H886" s="16"/>
      <c r="J886" s="7"/>
      <c r="K886" s="6"/>
      <c r="L886" s="20"/>
      <c r="M886" s="22"/>
      <c r="N886" s="6"/>
    </row>
    <row r="887" spans="6:14" x14ac:dyDescent="0.3">
      <c r="F887" s="16"/>
      <c r="G887" s="16"/>
      <c r="H887" s="16"/>
      <c r="J887" s="7"/>
      <c r="K887" s="6"/>
      <c r="L887" s="20"/>
      <c r="M887" s="22"/>
      <c r="N887" s="6"/>
    </row>
    <row r="888" spans="6:14" x14ac:dyDescent="0.3">
      <c r="F888" s="16"/>
      <c r="G888" s="16"/>
      <c r="H888" s="16"/>
      <c r="J888" s="7"/>
      <c r="K888" s="6"/>
      <c r="L888" s="20"/>
      <c r="M888" s="22"/>
      <c r="N888" s="6"/>
    </row>
    <row r="889" spans="6:14" x14ac:dyDescent="0.3">
      <c r="F889" s="16"/>
      <c r="G889" s="16"/>
      <c r="H889" s="16"/>
      <c r="J889" s="7"/>
      <c r="K889" s="6"/>
      <c r="L889" s="20"/>
      <c r="M889" s="22"/>
      <c r="N889" s="6"/>
    </row>
    <row r="890" spans="6:14" x14ac:dyDescent="0.3">
      <c r="F890" s="16"/>
      <c r="G890" s="16"/>
      <c r="H890" s="16"/>
      <c r="J890" s="7"/>
      <c r="K890" s="6"/>
      <c r="L890" s="20"/>
      <c r="M890" s="22"/>
      <c r="N890" s="6"/>
    </row>
    <row r="891" spans="6:14" x14ac:dyDescent="0.3">
      <c r="F891" s="16"/>
      <c r="G891" s="16"/>
      <c r="H891" s="16"/>
      <c r="J891" s="7"/>
      <c r="K891" s="6"/>
      <c r="L891" s="20"/>
      <c r="M891" s="22"/>
      <c r="N891" s="6"/>
    </row>
    <row r="892" spans="6:14" x14ac:dyDescent="0.3">
      <c r="F892" s="16"/>
      <c r="G892" s="16"/>
      <c r="H892" s="16"/>
      <c r="J892" s="7"/>
      <c r="K892" s="6"/>
      <c r="L892" s="20"/>
      <c r="M892" s="22"/>
      <c r="N892" s="6"/>
    </row>
    <row r="893" spans="6:14" x14ac:dyDescent="0.3">
      <c r="F893" s="16"/>
      <c r="G893" s="16"/>
      <c r="H893" s="16"/>
      <c r="J893" s="7"/>
      <c r="K893" s="6"/>
      <c r="L893" s="20"/>
      <c r="M893" s="22"/>
      <c r="N893" s="6"/>
    </row>
    <row r="894" spans="6:14" x14ac:dyDescent="0.3">
      <c r="F894" s="16"/>
      <c r="G894" s="16"/>
      <c r="H894" s="16"/>
      <c r="J894" s="7"/>
      <c r="K894" s="6"/>
      <c r="L894" s="20"/>
      <c r="M894" s="22"/>
      <c r="N894" s="6"/>
    </row>
    <row r="895" spans="6:14" x14ac:dyDescent="0.3">
      <c r="F895" s="16"/>
      <c r="G895" s="16"/>
      <c r="H895" s="16"/>
      <c r="J895" s="7"/>
      <c r="K895" s="6"/>
      <c r="L895" s="20"/>
      <c r="M895" s="22"/>
      <c r="N895" s="6"/>
    </row>
    <row r="896" spans="6:14" x14ac:dyDescent="0.3">
      <c r="F896" s="16"/>
      <c r="G896" s="16"/>
      <c r="H896" s="16"/>
      <c r="J896" s="7"/>
      <c r="K896" s="6"/>
      <c r="L896" s="20"/>
      <c r="M896" s="22"/>
      <c r="N896" s="6"/>
    </row>
    <row r="897" spans="6:14" x14ac:dyDescent="0.3">
      <c r="F897" s="16"/>
      <c r="G897" s="16"/>
      <c r="H897" s="16"/>
      <c r="J897" s="7"/>
      <c r="K897" s="6"/>
      <c r="L897" s="20"/>
      <c r="M897" s="22"/>
      <c r="N897" s="6"/>
    </row>
    <row r="898" spans="6:14" x14ac:dyDescent="0.3">
      <c r="F898" s="16"/>
      <c r="G898" s="16"/>
      <c r="H898" s="16"/>
      <c r="J898" s="7"/>
      <c r="K898" s="6"/>
      <c r="L898" s="20"/>
      <c r="M898" s="22"/>
      <c r="N898" s="6"/>
    </row>
    <row r="899" spans="6:14" x14ac:dyDescent="0.3">
      <c r="F899" s="16"/>
      <c r="G899" s="16"/>
      <c r="H899" s="16"/>
      <c r="J899" s="7"/>
      <c r="K899" s="6"/>
      <c r="L899" s="20"/>
      <c r="M899" s="22"/>
      <c r="N899" s="6"/>
    </row>
    <row r="900" spans="6:14" x14ac:dyDescent="0.3">
      <c r="F900" s="16"/>
      <c r="G900" s="16"/>
      <c r="H900" s="16"/>
      <c r="J900" s="7"/>
      <c r="K900" s="6"/>
      <c r="L900" s="20"/>
      <c r="M900" s="22"/>
      <c r="N900" s="6"/>
    </row>
    <row r="901" spans="6:14" x14ac:dyDescent="0.3">
      <c r="F901" s="16"/>
      <c r="G901" s="16"/>
      <c r="H901" s="16"/>
      <c r="J901" s="7"/>
      <c r="K901" s="6"/>
      <c r="L901" s="20"/>
      <c r="M901" s="22"/>
      <c r="N901" s="6"/>
    </row>
    <row r="902" spans="6:14" x14ac:dyDescent="0.3">
      <c r="F902" s="16"/>
      <c r="G902" s="16"/>
      <c r="H902" s="16"/>
      <c r="J902" s="7"/>
      <c r="K902" s="6"/>
      <c r="L902" s="20"/>
      <c r="M902" s="22"/>
      <c r="N902" s="6"/>
    </row>
    <row r="903" spans="6:14" x14ac:dyDescent="0.3">
      <c r="F903" s="16"/>
      <c r="G903" s="16"/>
      <c r="H903" s="16"/>
      <c r="J903" s="7"/>
      <c r="K903" s="6"/>
      <c r="L903" s="20"/>
      <c r="M903" s="22"/>
      <c r="N903" s="6"/>
    </row>
    <row r="904" spans="6:14" x14ac:dyDescent="0.3">
      <c r="F904" s="16"/>
      <c r="G904" s="16"/>
      <c r="H904" s="16"/>
      <c r="J904" s="7"/>
      <c r="K904" s="6"/>
      <c r="L904" s="20"/>
      <c r="M904" s="22"/>
      <c r="N904" s="6"/>
    </row>
    <row r="905" spans="6:14" x14ac:dyDescent="0.3">
      <c r="F905" s="16"/>
      <c r="G905" s="16"/>
      <c r="H905" s="16"/>
      <c r="J905" s="7"/>
      <c r="K905" s="6"/>
      <c r="L905" s="20"/>
      <c r="M905" s="22"/>
      <c r="N905" s="6"/>
    </row>
    <row r="906" spans="6:14" x14ac:dyDescent="0.3">
      <c r="F906" s="16"/>
      <c r="G906" s="16"/>
      <c r="H906" s="16"/>
      <c r="J906" s="7"/>
      <c r="K906" s="6"/>
      <c r="L906" s="20"/>
      <c r="M906" s="22"/>
      <c r="N906" s="6"/>
    </row>
    <row r="907" spans="6:14" x14ac:dyDescent="0.3">
      <c r="F907" s="16"/>
      <c r="G907" s="16"/>
      <c r="H907" s="16"/>
      <c r="J907" s="7"/>
      <c r="K907" s="6"/>
      <c r="L907" s="20"/>
      <c r="M907" s="22"/>
      <c r="N907" s="6"/>
    </row>
    <row r="908" spans="6:14" x14ac:dyDescent="0.3">
      <c r="F908" s="16"/>
      <c r="G908" s="16"/>
      <c r="H908" s="16"/>
      <c r="J908" s="7"/>
      <c r="K908" s="6"/>
      <c r="L908" s="20"/>
      <c r="M908" s="22"/>
      <c r="N908" s="6"/>
    </row>
    <row r="909" spans="6:14" x14ac:dyDescent="0.3">
      <c r="F909" s="16"/>
      <c r="G909" s="16"/>
      <c r="H909" s="16"/>
      <c r="J909" s="7"/>
      <c r="K909" s="6"/>
      <c r="L909" s="20"/>
      <c r="M909" s="22"/>
      <c r="N909" s="6"/>
    </row>
    <row r="910" spans="6:14" x14ac:dyDescent="0.3">
      <c r="F910" s="16"/>
      <c r="G910" s="16"/>
      <c r="H910" s="16"/>
      <c r="J910" s="7"/>
      <c r="K910" s="6"/>
      <c r="L910" s="20"/>
      <c r="M910" s="22"/>
      <c r="N910" s="6"/>
    </row>
    <row r="911" spans="6:14" x14ac:dyDescent="0.3">
      <c r="F911" s="16"/>
      <c r="G911" s="16"/>
      <c r="H911" s="16"/>
      <c r="J911" s="7"/>
      <c r="K911" s="6"/>
      <c r="L911" s="20"/>
      <c r="M911" s="22"/>
      <c r="N911" s="6"/>
    </row>
    <row r="912" spans="6:14" x14ac:dyDescent="0.3">
      <c r="F912" s="16"/>
      <c r="G912" s="16"/>
      <c r="H912" s="16"/>
      <c r="J912" s="7"/>
      <c r="K912" s="6"/>
      <c r="L912" s="20"/>
      <c r="M912" s="22"/>
      <c r="N912" s="6"/>
    </row>
    <row r="913" spans="6:14" x14ac:dyDescent="0.3">
      <c r="F913" s="16"/>
      <c r="G913" s="16"/>
      <c r="H913" s="16"/>
      <c r="J913" s="7"/>
      <c r="K913" s="6"/>
      <c r="L913" s="20"/>
      <c r="M913" s="22"/>
      <c r="N913" s="6"/>
    </row>
    <row r="914" spans="6:14" x14ac:dyDescent="0.3">
      <c r="F914" s="16"/>
      <c r="G914" s="16"/>
      <c r="H914" s="16"/>
      <c r="J914" s="7"/>
      <c r="K914" s="6"/>
      <c r="L914" s="20"/>
      <c r="M914" s="22"/>
      <c r="N914" s="6"/>
    </row>
    <row r="915" spans="6:14" x14ac:dyDescent="0.3">
      <c r="F915" s="16"/>
      <c r="G915" s="16"/>
      <c r="H915" s="16"/>
      <c r="J915" s="7"/>
      <c r="K915" s="6"/>
      <c r="L915" s="20"/>
      <c r="M915" s="22"/>
      <c r="N915" s="6"/>
    </row>
    <row r="916" spans="6:14" x14ac:dyDescent="0.3">
      <c r="F916" s="16"/>
      <c r="G916" s="16"/>
      <c r="H916" s="16"/>
      <c r="J916" s="7"/>
      <c r="K916" s="6"/>
      <c r="L916" s="20"/>
      <c r="M916" s="22"/>
      <c r="N916" s="6"/>
    </row>
    <row r="917" spans="6:14" x14ac:dyDescent="0.3">
      <c r="F917" s="16"/>
      <c r="G917" s="16"/>
      <c r="H917" s="16"/>
      <c r="J917" s="7"/>
      <c r="K917" s="6"/>
      <c r="L917" s="20"/>
      <c r="M917" s="22"/>
      <c r="N917" s="6"/>
    </row>
    <row r="918" spans="6:14" x14ac:dyDescent="0.3">
      <c r="F918" s="16"/>
      <c r="G918" s="16"/>
      <c r="H918" s="16"/>
      <c r="J918" s="7"/>
      <c r="K918" s="6"/>
      <c r="L918" s="20"/>
      <c r="M918" s="22"/>
      <c r="N918" s="6"/>
    </row>
    <row r="919" spans="6:14" x14ac:dyDescent="0.3">
      <c r="F919" s="16"/>
      <c r="G919" s="16"/>
      <c r="H919" s="16"/>
      <c r="J919" s="7"/>
      <c r="K919" s="6"/>
      <c r="L919" s="20"/>
      <c r="M919" s="22"/>
      <c r="N919" s="6"/>
    </row>
    <row r="920" spans="6:14" x14ac:dyDescent="0.3">
      <c r="F920" s="16"/>
      <c r="G920" s="16"/>
      <c r="H920" s="16"/>
      <c r="J920" s="7"/>
      <c r="K920" s="6"/>
      <c r="L920" s="20"/>
      <c r="M920" s="22"/>
      <c r="N920" s="6"/>
    </row>
    <row r="921" spans="6:14" x14ac:dyDescent="0.3">
      <c r="F921" s="16"/>
      <c r="G921" s="16"/>
      <c r="H921" s="16"/>
      <c r="J921" s="7"/>
      <c r="K921" s="6"/>
      <c r="L921" s="20"/>
      <c r="M921" s="22"/>
      <c r="N921" s="6"/>
    </row>
    <row r="922" spans="6:14" x14ac:dyDescent="0.3">
      <c r="F922" s="16"/>
      <c r="G922" s="16"/>
      <c r="H922" s="16"/>
      <c r="J922" s="7"/>
      <c r="K922" s="6"/>
      <c r="L922" s="20"/>
      <c r="M922" s="22"/>
      <c r="N922" s="6"/>
    </row>
    <row r="923" spans="6:14" x14ac:dyDescent="0.3">
      <c r="F923" s="16"/>
      <c r="G923" s="16"/>
      <c r="H923" s="16"/>
      <c r="J923" s="7"/>
      <c r="K923" s="6"/>
      <c r="L923" s="20"/>
      <c r="M923" s="22"/>
      <c r="N923" s="6"/>
    </row>
    <row r="924" spans="6:14" x14ac:dyDescent="0.3">
      <c r="F924" s="16"/>
      <c r="G924" s="16"/>
      <c r="H924" s="16"/>
      <c r="J924" s="7"/>
      <c r="K924" s="6"/>
      <c r="L924" s="20"/>
      <c r="M924" s="22"/>
      <c r="N924" s="6"/>
    </row>
    <row r="925" spans="6:14" x14ac:dyDescent="0.3">
      <c r="F925" s="16"/>
      <c r="G925" s="16"/>
      <c r="H925" s="16"/>
      <c r="J925" s="7"/>
      <c r="K925" s="6"/>
      <c r="L925" s="20"/>
      <c r="M925" s="22"/>
      <c r="N925" s="6"/>
    </row>
    <row r="926" spans="6:14" x14ac:dyDescent="0.3">
      <c r="F926" s="16"/>
      <c r="G926" s="16"/>
      <c r="H926" s="16"/>
      <c r="J926" s="7"/>
      <c r="K926" s="6"/>
      <c r="L926" s="20"/>
      <c r="M926" s="22"/>
      <c r="N926" s="6"/>
    </row>
    <row r="927" spans="6:14" x14ac:dyDescent="0.3">
      <c r="F927" s="16"/>
      <c r="G927" s="16"/>
      <c r="H927" s="16"/>
      <c r="J927" s="7"/>
      <c r="K927" s="6"/>
      <c r="L927" s="20"/>
      <c r="M927" s="22"/>
      <c r="N927" s="6"/>
    </row>
    <row r="928" spans="6:14" x14ac:dyDescent="0.3">
      <c r="F928" s="16"/>
      <c r="G928" s="16"/>
      <c r="H928" s="16"/>
      <c r="J928" s="7"/>
      <c r="K928" s="6"/>
      <c r="L928" s="20"/>
      <c r="M928" s="22"/>
      <c r="N928" s="6"/>
    </row>
    <row r="929" spans="6:14" x14ac:dyDescent="0.3">
      <c r="F929" s="16"/>
      <c r="G929" s="16"/>
      <c r="H929" s="16"/>
      <c r="J929" s="7"/>
      <c r="K929" s="6"/>
      <c r="L929" s="20"/>
      <c r="M929" s="22"/>
      <c r="N929" s="6"/>
    </row>
    <row r="930" spans="6:14" x14ac:dyDescent="0.3">
      <c r="F930" s="16"/>
      <c r="G930" s="16"/>
      <c r="H930" s="16"/>
      <c r="J930" s="7"/>
      <c r="K930" s="6"/>
      <c r="L930" s="20"/>
      <c r="M930" s="22"/>
      <c r="N930" s="6"/>
    </row>
    <row r="931" spans="6:14" x14ac:dyDescent="0.3">
      <c r="F931" s="16"/>
      <c r="G931" s="16"/>
      <c r="H931" s="16"/>
      <c r="J931" s="7"/>
      <c r="K931" s="6"/>
      <c r="L931" s="20"/>
      <c r="M931" s="22"/>
      <c r="N931" s="6"/>
    </row>
    <row r="932" spans="6:14" x14ac:dyDescent="0.3">
      <c r="F932" s="16"/>
      <c r="G932" s="16"/>
      <c r="H932" s="16"/>
      <c r="J932" s="7"/>
      <c r="K932" s="6"/>
      <c r="L932" s="20"/>
      <c r="M932" s="22"/>
      <c r="N932" s="6"/>
    </row>
    <row r="933" spans="6:14" x14ac:dyDescent="0.3">
      <c r="F933" s="16"/>
      <c r="G933" s="16"/>
      <c r="H933" s="16"/>
      <c r="J933" s="7"/>
      <c r="K933" s="6"/>
      <c r="L933" s="20"/>
      <c r="M933" s="22"/>
      <c r="N933" s="6"/>
    </row>
    <row r="934" spans="6:14" x14ac:dyDescent="0.3">
      <c r="F934" s="16"/>
      <c r="G934" s="16"/>
      <c r="H934" s="16"/>
      <c r="J934" s="7"/>
      <c r="K934" s="6"/>
      <c r="L934" s="20"/>
      <c r="M934" s="22"/>
      <c r="N934" s="6"/>
    </row>
    <row r="935" spans="6:14" x14ac:dyDescent="0.3">
      <c r="F935" s="16"/>
      <c r="G935" s="16"/>
      <c r="H935" s="16"/>
      <c r="J935" s="7"/>
      <c r="K935" s="6"/>
      <c r="L935" s="20"/>
      <c r="M935" s="22"/>
      <c r="N935" s="6"/>
    </row>
    <row r="936" spans="6:14" x14ac:dyDescent="0.3">
      <c r="F936" s="16"/>
      <c r="G936" s="16"/>
      <c r="H936" s="16"/>
      <c r="J936" s="7"/>
      <c r="K936" s="6"/>
      <c r="L936" s="20"/>
      <c r="M936" s="22"/>
      <c r="N936" s="6"/>
    </row>
    <row r="937" spans="6:14" x14ac:dyDescent="0.3">
      <c r="F937" s="16"/>
      <c r="G937" s="16"/>
      <c r="H937" s="16"/>
      <c r="J937" s="7"/>
      <c r="K937" s="6"/>
      <c r="L937" s="20"/>
      <c r="M937" s="22"/>
      <c r="N937" s="6"/>
    </row>
    <row r="938" spans="6:14" x14ac:dyDescent="0.3">
      <c r="F938" s="16"/>
      <c r="G938" s="16"/>
      <c r="H938" s="16"/>
      <c r="J938" s="7"/>
      <c r="K938" s="6"/>
      <c r="L938" s="20"/>
      <c r="M938" s="22"/>
      <c r="N938" s="6"/>
    </row>
    <row r="939" spans="6:14" x14ac:dyDescent="0.3">
      <c r="F939" s="16"/>
      <c r="G939" s="16"/>
      <c r="H939" s="16"/>
      <c r="J939" s="7"/>
      <c r="K939" s="6"/>
      <c r="L939" s="20"/>
      <c r="M939" s="22"/>
      <c r="N939" s="6"/>
    </row>
    <row r="940" spans="6:14" x14ac:dyDescent="0.3">
      <c r="F940" s="16"/>
      <c r="G940" s="16"/>
      <c r="H940" s="16"/>
      <c r="J940" s="7"/>
      <c r="K940" s="6"/>
      <c r="L940" s="20"/>
      <c r="M940" s="22"/>
      <c r="N940" s="6"/>
    </row>
    <row r="941" spans="6:14" x14ac:dyDescent="0.3">
      <c r="F941" s="16"/>
      <c r="G941" s="16"/>
      <c r="H941" s="16"/>
      <c r="J941" s="7"/>
      <c r="K941" s="6"/>
      <c r="L941" s="20"/>
      <c r="M941" s="22"/>
      <c r="N941" s="6"/>
    </row>
    <row r="942" spans="6:14" x14ac:dyDescent="0.3">
      <c r="F942" s="16"/>
      <c r="G942" s="16"/>
      <c r="H942" s="16"/>
      <c r="J942" s="7"/>
      <c r="K942" s="6"/>
      <c r="L942" s="20"/>
      <c r="M942" s="22"/>
      <c r="N942" s="6"/>
    </row>
    <row r="943" spans="6:14" x14ac:dyDescent="0.3">
      <c r="F943" s="16"/>
      <c r="G943" s="16"/>
      <c r="H943" s="16"/>
      <c r="J943" s="7"/>
      <c r="K943" s="6"/>
      <c r="L943" s="20"/>
      <c r="M943" s="22"/>
      <c r="N943" s="6"/>
    </row>
    <row r="944" spans="6:14" x14ac:dyDescent="0.3">
      <c r="F944" s="16"/>
      <c r="G944" s="16"/>
      <c r="H944" s="16"/>
      <c r="J944" s="7"/>
      <c r="K944" s="6"/>
      <c r="L944" s="20"/>
      <c r="M944" s="22"/>
      <c r="N944" s="6"/>
    </row>
    <row r="945" spans="6:14" x14ac:dyDescent="0.3">
      <c r="F945" s="16"/>
      <c r="G945" s="16"/>
      <c r="H945" s="16"/>
      <c r="J945" s="7"/>
      <c r="K945" s="6"/>
      <c r="L945" s="20"/>
      <c r="M945" s="22"/>
      <c r="N945" s="6"/>
    </row>
    <row r="946" spans="6:14" x14ac:dyDescent="0.3">
      <c r="F946" s="16"/>
      <c r="G946" s="16"/>
      <c r="H946" s="16"/>
      <c r="J946" s="7"/>
      <c r="K946" s="6"/>
      <c r="L946" s="20"/>
      <c r="M946" s="22"/>
      <c r="N946" s="6"/>
    </row>
    <row r="947" spans="6:14" x14ac:dyDescent="0.3">
      <c r="F947" s="16"/>
      <c r="G947" s="16"/>
      <c r="H947" s="16"/>
      <c r="J947" s="7"/>
      <c r="K947" s="6"/>
      <c r="L947" s="20"/>
      <c r="M947" s="22"/>
      <c r="N947" s="6"/>
    </row>
    <row r="948" spans="6:14" x14ac:dyDescent="0.3">
      <c r="F948" s="16"/>
      <c r="G948" s="16"/>
      <c r="H948" s="16"/>
      <c r="J948" s="7"/>
      <c r="K948" s="6"/>
      <c r="L948" s="20"/>
      <c r="M948" s="22"/>
      <c r="N948" s="6"/>
    </row>
    <row r="949" spans="6:14" x14ac:dyDescent="0.3">
      <c r="F949" s="16"/>
      <c r="G949" s="16"/>
      <c r="H949" s="16"/>
      <c r="J949" s="7"/>
      <c r="K949" s="6"/>
      <c r="L949" s="20"/>
      <c r="M949" s="22"/>
      <c r="N949" s="6"/>
    </row>
    <row r="950" spans="6:14" x14ac:dyDescent="0.3">
      <c r="F950" s="16"/>
      <c r="G950" s="16"/>
      <c r="H950" s="16"/>
      <c r="J950" s="7"/>
      <c r="K950" s="6"/>
      <c r="L950" s="20"/>
      <c r="M950" s="22"/>
      <c r="N950" s="6"/>
    </row>
    <row r="951" spans="6:14" x14ac:dyDescent="0.3">
      <c r="F951" s="16"/>
      <c r="G951" s="16"/>
      <c r="H951" s="16"/>
      <c r="J951" s="7"/>
      <c r="K951" s="6"/>
      <c r="L951" s="20"/>
      <c r="M951" s="22"/>
      <c r="N951" s="6"/>
    </row>
    <row r="952" spans="6:14" x14ac:dyDescent="0.3">
      <c r="F952" s="16"/>
      <c r="G952" s="16"/>
      <c r="H952" s="16"/>
      <c r="J952" s="7"/>
      <c r="K952" s="6"/>
      <c r="L952" s="20"/>
      <c r="M952" s="22"/>
      <c r="N952" s="6"/>
    </row>
    <row r="953" spans="6:14" x14ac:dyDescent="0.3">
      <c r="F953" s="16"/>
      <c r="G953" s="16"/>
      <c r="H953" s="16"/>
      <c r="J953" s="7"/>
      <c r="K953" s="6"/>
      <c r="L953" s="20"/>
      <c r="M953" s="22"/>
      <c r="N953" s="6"/>
    </row>
    <row r="954" spans="6:14" x14ac:dyDescent="0.3">
      <c r="F954" s="16"/>
      <c r="G954" s="16"/>
      <c r="H954" s="16"/>
      <c r="J954" s="7"/>
      <c r="K954" s="6"/>
      <c r="L954" s="20"/>
      <c r="M954" s="22"/>
      <c r="N954" s="6"/>
    </row>
    <row r="955" spans="6:14" x14ac:dyDescent="0.3">
      <c r="F955" s="16"/>
      <c r="G955" s="16"/>
      <c r="H955" s="16"/>
      <c r="J955" s="7"/>
      <c r="K955" s="6"/>
      <c r="L955" s="20"/>
      <c r="M955" s="22"/>
      <c r="N955" s="6"/>
    </row>
    <row r="956" spans="6:14" x14ac:dyDescent="0.3">
      <c r="F956" s="16"/>
      <c r="G956" s="16"/>
      <c r="H956" s="16"/>
      <c r="J956" s="7"/>
      <c r="K956" s="6"/>
      <c r="L956" s="20"/>
      <c r="M956" s="22"/>
      <c r="N956" s="6"/>
    </row>
    <row r="957" spans="6:14" x14ac:dyDescent="0.3">
      <c r="F957" s="16"/>
      <c r="G957" s="16"/>
      <c r="H957" s="16"/>
      <c r="J957" s="7"/>
      <c r="K957" s="6"/>
      <c r="L957" s="20"/>
      <c r="M957" s="22"/>
      <c r="N957" s="6"/>
    </row>
    <row r="958" spans="6:14" x14ac:dyDescent="0.3">
      <c r="F958" s="16"/>
      <c r="G958" s="16"/>
      <c r="H958" s="16"/>
      <c r="J958" s="7"/>
      <c r="K958" s="6"/>
      <c r="L958" s="20"/>
      <c r="M958" s="22"/>
      <c r="N958" s="6"/>
    </row>
    <row r="959" spans="6:14" x14ac:dyDescent="0.3">
      <c r="F959" s="16"/>
      <c r="G959" s="16"/>
      <c r="H959" s="16"/>
      <c r="J959" s="7"/>
      <c r="K959" s="6"/>
      <c r="L959" s="20"/>
      <c r="M959" s="22"/>
      <c r="N959" s="6"/>
    </row>
    <row r="960" spans="6:14" x14ac:dyDescent="0.3">
      <c r="F960" s="16"/>
      <c r="G960" s="16"/>
      <c r="H960" s="16"/>
      <c r="J960" s="7"/>
      <c r="K960" s="6"/>
      <c r="L960" s="20"/>
      <c r="M960" s="22"/>
      <c r="N960" s="6"/>
    </row>
    <row r="961" spans="6:14" x14ac:dyDescent="0.3">
      <c r="F961" s="16"/>
      <c r="G961" s="16"/>
      <c r="H961" s="16"/>
      <c r="J961" s="7"/>
      <c r="K961" s="6"/>
      <c r="L961" s="20"/>
      <c r="M961" s="22"/>
      <c r="N961" s="6"/>
    </row>
    <row r="962" spans="6:14" x14ac:dyDescent="0.3">
      <c r="F962" s="16"/>
      <c r="G962" s="16"/>
      <c r="H962" s="16"/>
      <c r="J962" s="7"/>
      <c r="K962" s="6"/>
      <c r="L962" s="20"/>
      <c r="M962" s="22"/>
      <c r="N962" s="6"/>
    </row>
    <row r="963" spans="6:14" x14ac:dyDescent="0.3">
      <c r="F963" s="16"/>
      <c r="G963" s="16"/>
      <c r="H963" s="16"/>
      <c r="J963" s="7"/>
      <c r="K963" s="6"/>
      <c r="L963" s="20"/>
      <c r="M963" s="22"/>
      <c r="N963" s="6"/>
    </row>
    <row r="964" spans="6:14" x14ac:dyDescent="0.3">
      <c r="F964" s="16"/>
      <c r="G964" s="16"/>
      <c r="H964" s="16"/>
      <c r="J964" s="7"/>
      <c r="K964" s="6"/>
      <c r="L964" s="20"/>
      <c r="M964" s="22"/>
      <c r="N964" s="6"/>
    </row>
    <row r="965" spans="6:14" x14ac:dyDescent="0.3">
      <c r="F965" s="16"/>
      <c r="G965" s="16"/>
      <c r="H965" s="16"/>
      <c r="J965" s="7"/>
      <c r="K965" s="6"/>
      <c r="L965" s="20"/>
      <c r="M965" s="22"/>
      <c r="N965" s="6"/>
    </row>
    <row r="966" spans="6:14" x14ac:dyDescent="0.3">
      <c r="F966" s="16"/>
      <c r="G966" s="16"/>
      <c r="H966" s="16"/>
      <c r="J966" s="7"/>
      <c r="K966" s="6"/>
      <c r="L966" s="20"/>
      <c r="M966" s="22"/>
      <c r="N966" s="6"/>
    </row>
    <row r="967" spans="6:14" x14ac:dyDescent="0.3">
      <c r="F967" s="16"/>
      <c r="G967" s="16"/>
      <c r="H967" s="16"/>
      <c r="J967" s="7"/>
      <c r="K967" s="6"/>
      <c r="L967" s="20"/>
      <c r="M967" s="22"/>
      <c r="N967" s="6"/>
    </row>
    <row r="968" spans="6:14" x14ac:dyDescent="0.3">
      <c r="F968" s="16"/>
      <c r="G968" s="16"/>
      <c r="H968" s="16"/>
      <c r="J968" s="7"/>
      <c r="K968" s="6"/>
      <c r="L968" s="20"/>
      <c r="M968" s="22"/>
      <c r="N968" s="6"/>
    </row>
    <row r="969" spans="6:14" x14ac:dyDescent="0.3">
      <c r="F969" s="16"/>
      <c r="G969" s="16"/>
      <c r="H969" s="16"/>
      <c r="J969" s="7"/>
      <c r="K969" s="6"/>
      <c r="L969" s="20"/>
      <c r="M969" s="22"/>
      <c r="N969" s="6"/>
    </row>
    <row r="970" spans="6:14" x14ac:dyDescent="0.3">
      <c r="F970" s="16"/>
      <c r="G970" s="16"/>
      <c r="H970" s="16"/>
      <c r="J970" s="7"/>
      <c r="K970" s="6"/>
      <c r="L970" s="20"/>
      <c r="M970" s="22"/>
      <c r="N970" s="6"/>
    </row>
    <row r="971" spans="6:14" x14ac:dyDescent="0.3">
      <c r="F971" s="16"/>
      <c r="G971" s="16"/>
      <c r="H971" s="16"/>
      <c r="J971" s="7"/>
      <c r="K971" s="6"/>
      <c r="L971" s="20"/>
      <c r="M971" s="22"/>
      <c r="N971" s="6"/>
    </row>
    <row r="972" spans="6:14" x14ac:dyDescent="0.3">
      <c r="F972" s="16"/>
      <c r="G972" s="16"/>
      <c r="H972" s="16"/>
      <c r="J972" s="7"/>
      <c r="K972" s="6"/>
      <c r="L972" s="20"/>
      <c r="M972" s="22"/>
      <c r="N972" s="6"/>
    </row>
    <row r="973" spans="6:14" x14ac:dyDescent="0.3">
      <c r="F973" s="16"/>
      <c r="G973" s="16"/>
      <c r="H973" s="16"/>
      <c r="J973" s="7"/>
      <c r="K973" s="6"/>
      <c r="L973" s="20"/>
      <c r="M973" s="22"/>
      <c r="N973" s="6"/>
    </row>
    <row r="974" spans="6:14" x14ac:dyDescent="0.3">
      <c r="F974" s="16"/>
      <c r="G974" s="16"/>
      <c r="H974" s="16"/>
      <c r="J974" s="7"/>
      <c r="K974" s="6"/>
      <c r="L974" s="20"/>
      <c r="M974" s="22"/>
      <c r="N974" s="6"/>
    </row>
    <row r="975" spans="6:14" x14ac:dyDescent="0.3">
      <c r="F975" s="16"/>
      <c r="G975" s="16"/>
      <c r="H975" s="16"/>
      <c r="J975" s="7"/>
      <c r="K975" s="6"/>
      <c r="L975" s="20"/>
      <c r="M975" s="22"/>
      <c r="N975" s="6"/>
    </row>
    <row r="976" spans="6:14" x14ac:dyDescent="0.3">
      <c r="F976" s="16"/>
      <c r="G976" s="16"/>
      <c r="H976" s="16"/>
      <c r="J976" s="7"/>
      <c r="K976" s="6"/>
      <c r="L976" s="20"/>
      <c r="M976" s="22"/>
      <c r="N976" s="6"/>
    </row>
    <row r="977" spans="6:14" x14ac:dyDescent="0.3">
      <c r="F977" s="16"/>
      <c r="G977" s="16"/>
      <c r="H977" s="16"/>
      <c r="J977" s="7"/>
      <c r="K977" s="6"/>
      <c r="L977" s="20"/>
      <c r="M977" s="22"/>
      <c r="N977" s="6"/>
    </row>
    <row r="978" spans="6:14" x14ac:dyDescent="0.3">
      <c r="F978" s="16"/>
      <c r="G978" s="16"/>
      <c r="H978" s="16"/>
      <c r="J978" s="7"/>
      <c r="K978" s="6"/>
      <c r="L978" s="20"/>
      <c r="M978" s="22"/>
      <c r="N978" s="6"/>
    </row>
    <row r="979" spans="6:14" x14ac:dyDescent="0.3">
      <c r="F979" s="16"/>
      <c r="G979" s="16"/>
      <c r="H979" s="16"/>
      <c r="J979" s="7"/>
      <c r="K979" s="6"/>
      <c r="L979" s="20"/>
      <c r="M979" s="22"/>
      <c r="N979" s="6"/>
    </row>
    <row r="980" spans="6:14" x14ac:dyDescent="0.3">
      <c r="F980" s="16"/>
      <c r="G980" s="16"/>
      <c r="H980" s="16"/>
      <c r="J980" s="7"/>
      <c r="K980" s="6"/>
      <c r="L980" s="20"/>
      <c r="M980" s="22"/>
      <c r="N980" s="6"/>
    </row>
    <row r="981" spans="6:14" x14ac:dyDescent="0.3">
      <c r="F981" s="16"/>
      <c r="G981" s="16"/>
      <c r="H981" s="16"/>
      <c r="J981" s="7"/>
      <c r="K981" s="6"/>
      <c r="L981" s="20"/>
      <c r="M981" s="22"/>
      <c r="N981" s="6"/>
    </row>
    <row r="982" spans="6:14" x14ac:dyDescent="0.3">
      <c r="F982" s="16"/>
      <c r="G982" s="16"/>
      <c r="H982" s="16"/>
      <c r="J982" s="7"/>
      <c r="K982" s="6"/>
      <c r="L982" s="20"/>
      <c r="M982" s="22"/>
      <c r="N982" s="6"/>
    </row>
    <row r="983" spans="6:14" x14ac:dyDescent="0.3">
      <c r="F983" s="16"/>
      <c r="G983" s="16"/>
      <c r="H983" s="16"/>
      <c r="J983" s="7"/>
      <c r="K983" s="6"/>
      <c r="L983" s="20"/>
      <c r="M983" s="22"/>
      <c r="N983" s="6"/>
    </row>
    <row r="984" spans="6:14" x14ac:dyDescent="0.3">
      <c r="F984" s="16"/>
      <c r="G984" s="16"/>
      <c r="H984" s="16"/>
      <c r="J984" s="7"/>
      <c r="K984" s="6"/>
      <c r="L984" s="20"/>
      <c r="M984" s="22"/>
      <c r="N984" s="6"/>
    </row>
    <row r="985" spans="6:14" x14ac:dyDescent="0.3">
      <c r="F985" s="16"/>
      <c r="G985" s="16"/>
      <c r="H985" s="16"/>
      <c r="J985" s="7"/>
      <c r="K985" s="6"/>
      <c r="L985" s="20"/>
      <c r="M985" s="22"/>
      <c r="N985" s="6"/>
    </row>
    <row r="986" spans="6:14" x14ac:dyDescent="0.3">
      <c r="F986" s="16"/>
      <c r="G986" s="16"/>
      <c r="H986" s="16"/>
      <c r="J986" s="7"/>
      <c r="K986" s="6"/>
      <c r="L986" s="20"/>
      <c r="M986" s="22"/>
      <c r="N986" s="6"/>
    </row>
    <row r="987" spans="6:14" x14ac:dyDescent="0.3">
      <c r="F987" s="16"/>
      <c r="G987" s="16"/>
      <c r="H987" s="16"/>
      <c r="J987" s="7"/>
      <c r="K987" s="6"/>
      <c r="L987" s="20"/>
      <c r="M987" s="22"/>
      <c r="N987" s="6"/>
    </row>
    <row r="988" spans="6:14" x14ac:dyDescent="0.3">
      <c r="F988" s="16"/>
      <c r="G988" s="16"/>
      <c r="H988" s="16"/>
      <c r="J988" s="7"/>
      <c r="K988" s="6"/>
      <c r="L988" s="20"/>
      <c r="M988" s="22"/>
      <c r="N988" s="6"/>
    </row>
    <row r="989" spans="6:14" x14ac:dyDescent="0.3">
      <c r="F989" s="16"/>
      <c r="G989" s="16"/>
      <c r="H989" s="16"/>
      <c r="J989" s="7"/>
      <c r="K989" s="6"/>
      <c r="L989" s="20"/>
      <c r="M989" s="22"/>
      <c r="N989" s="6"/>
    </row>
    <row r="990" spans="6:14" x14ac:dyDescent="0.3">
      <c r="F990" s="16"/>
      <c r="G990" s="16"/>
      <c r="H990" s="16"/>
      <c r="J990" s="7"/>
      <c r="K990" s="6"/>
      <c r="L990" s="20"/>
      <c r="M990" s="22"/>
      <c r="N990" s="6"/>
    </row>
    <row r="991" spans="6:14" x14ac:dyDescent="0.3">
      <c r="F991" s="16"/>
      <c r="G991" s="16"/>
      <c r="H991" s="16"/>
      <c r="J991" s="7"/>
      <c r="K991" s="6"/>
      <c r="L991" s="20"/>
      <c r="M991" s="22"/>
      <c r="N991" s="6"/>
    </row>
    <row r="992" spans="6:14" x14ac:dyDescent="0.3">
      <c r="F992" s="16"/>
      <c r="G992" s="16"/>
      <c r="H992" s="16"/>
      <c r="J992" s="7"/>
      <c r="K992" s="6"/>
      <c r="L992" s="20"/>
      <c r="M992" s="22"/>
      <c r="N992" s="6"/>
    </row>
    <row r="993" spans="6:14" x14ac:dyDescent="0.3">
      <c r="F993" s="16"/>
      <c r="G993" s="16"/>
      <c r="H993" s="16"/>
      <c r="J993" s="7"/>
      <c r="K993" s="6"/>
      <c r="L993" s="20"/>
      <c r="M993" s="22"/>
      <c r="N993" s="6"/>
    </row>
    <row r="994" spans="6:14" x14ac:dyDescent="0.3">
      <c r="F994" s="16"/>
      <c r="G994" s="16"/>
      <c r="H994" s="16"/>
      <c r="J994" s="7"/>
      <c r="K994" s="6"/>
      <c r="L994" s="20"/>
      <c r="M994" s="22"/>
      <c r="N994" s="6"/>
    </row>
    <row r="995" spans="6:14" x14ac:dyDescent="0.3">
      <c r="F995" s="16"/>
      <c r="G995" s="16"/>
      <c r="H995" s="16"/>
      <c r="J995" s="7"/>
      <c r="K995" s="6"/>
      <c r="L995" s="20"/>
      <c r="M995" s="22"/>
      <c r="N995" s="6"/>
    </row>
    <row r="996" spans="6:14" x14ac:dyDescent="0.3">
      <c r="F996" s="16"/>
      <c r="G996" s="16"/>
      <c r="H996" s="16"/>
      <c r="J996" s="7"/>
      <c r="K996" s="6"/>
      <c r="L996" s="20"/>
      <c r="M996" s="22"/>
      <c r="N996" s="6"/>
    </row>
    <row r="997" spans="6:14" x14ac:dyDescent="0.3">
      <c r="F997" s="16"/>
      <c r="G997" s="16"/>
      <c r="H997" s="16"/>
      <c r="J997" s="7"/>
      <c r="K997" s="6"/>
      <c r="L997" s="20"/>
      <c r="M997" s="22"/>
      <c r="N997" s="6"/>
    </row>
    <row r="998" spans="6:14" x14ac:dyDescent="0.3">
      <c r="F998" s="16"/>
      <c r="G998" s="16"/>
      <c r="H998" s="16"/>
      <c r="J998" s="7"/>
      <c r="K998" s="6"/>
      <c r="L998" s="20"/>
      <c r="M998" s="22"/>
      <c r="N998" s="6"/>
    </row>
    <row r="999" spans="6:14" x14ac:dyDescent="0.3">
      <c r="K999" s="7"/>
      <c r="L999" s="21"/>
      <c r="M999" s="22"/>
      <c r="N999" s="6"/>
    </row>
    <row r="1000" spans="6:14" x14ac:dyDescent="0.3">
      <c r="K1000" s="7"/>
      <c r="L1000" s="7"/>
      <c r="M1000" s="7"/>
      <c r="N1000" s="6"/>
    </row>
    <row r="1001" spans="6:14" x14ac:dyDescent="0.3">
      <c r="K1001" s="7"/>
      <c r="L1001" s="7"/>
      <c r="M1001" s="7"/>
      <c r="N1001" s="6"/>
    </row>
    <row r="1002" spans="6:14" x14ac:dyDescent="0.3">
      <c r="K1002" s="7"/>
      <c r="L1002" s="7"/>
      <c r="M1002" s="7"/>
      <c r="N1002" s="6"/>
    </row>
  </sheetData>
  <mergeCells count="2">
    <mergeCell ref="A2:Q2"/>
    <mergeCell ref="A1:Q1"/>
  </mergeCells>
  <phoneticPr fontId="8" type="noConversion"/>
  <conditionalFormatting sqref="O4:O175">
    <cfRule type="containsText" dxfId="2" priority="1" operator="containsText" text="Payment Made">
      <formula>NOT(ISERROR(SEARCH("Payment Made",O4)))</formula>
    </cfRule>
    <cfRule type="containsText" dxfId="1" priority="2" operator="containsText" text="Payment Not Made">
      <formula>NOT(ISERROR(SEARCH("Payment Not Made",O4)))</formula>
    </cfRule>
  </conditionalFormatting>
  <conditionalFormatting sqref="P4:P175">
    <cfRule type="containsText" dxfId="0" priority="3" operator="containsText" text="Interested">
      <formula>NOT(ISERROR(SEARCH("Interested",P4)))</formula>
    </cfRule>
  </conditionalFormatting>
  <dataValidations count="2">
    <dataValidation type="date" operator="greaterThanOrEqual" allowBlank="1" showInputMessage="1" showErrorMessage="1" errorTitle="Invalid payment date" error="Please enter a date on or after 01-Jul-2026." promptTitle="Payment Date" prompt="Enter or pick a date from July 2026 onward." sqref="N999:N1002" xr:uid="{7A577A81-33E5-4756-9B47-C1C6693DD877}">
      <formula1>DATE(2026,7,1)</formula1>
    </dataValidation>
    <dataValidation type="date" operator="greaterThanOrEqual" allowBlank="1" showInputMessage="1" showErrorMessage="1" errorTitle="Invalid entry" error="Please select or enter an allowed value." sqref="N176:N998" xr:uid="{BE51910F-4CF8-4A46-AA17-50A6592D8890}">
      <formula1>DATE(2026,7,1)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errorTitle="Invalid payment status" error="Please select a value from the dropdown." promptTitle="Payment Status" prompt="Choose Payment Made or Payment Not Made." xr:uid="{FF2F8DC0-B365-4EF1-A949-48287834733D}">
          <x14:formula1>
            <xm:f>Notes!$H$4:$I$4</xm:f>
          </x14:formula1>
          <xm:sqref>P999:P1002</xm:sqref>
        </x14:dataValidation>
        <x14:dataValidation type="list" allowBlank="1" showInputMessage="1" showErrorMessage="1" errorTitle="Invalid status" error="Please select a value from the dropdown." promptTitle="Status" prompt="Choose the latest follow-up status." xr:uid="{01CE0F10-9D0A-4DEB-B8E8-A54740AAB61C}">
          <x14:formula1>
            <xm:f>Notes!$H$2:$M$2</xm:f>
          </x14:formula1>
          <xm:sqref>Q999:Q1002</xm:sqref>
        </x14:dataValidation>
        <x14:dataValidation type="list" allowBlank="1" showInputMessage="1" showErrorMessage="1" errorTitle="Invalid membership type" error="Please select a value from the dropdown." promptTitle="Membership Type" prompt="Choose the membership type." xr:uid="{58B1FB8F-CA3D-40A1-A3B4-398FE4F55062}">
          <x14:formula1>
            <xm:f>Notes!$H$6:$K$6</xm:f>
          </x14:formula1>
          <xm:sqref>I999:I1002</xm:sqref>
        </x14:dataValidation>
        <x14:dataValidation type="list" allowBlank="1" showInputMessage="1" showErrorMessage="1" errorTitle="Invalid amount" error="Please select a value from the dropdown." promptTitle="Amount (INR)" prompt="Choose the membership amount." xr:uid="{DEF9E8E5-CFE1-4CBB-AC72-C0DB665A4B3F}">
          <x14:formula1>
            <xm:f>Notes!$H$8:$K$8</xm:f>
          </x14:formula1>
          <xm:sqref>K999:K1002 L1000:L1002 M1000:M1002</xm:sqref>
        </x14:dataValidation>
        <x14:dataValidation type="list" allowBlank="1" showInputMessage="1" showErrorMessage="1" errorTitle="Invalid entry" error="Please select or enter an allowed value." xr:uid="{117BD75A-0D68-428B-A244-2F56A648DFEC}">
          <x14:formula1>
            <xm:f>Notes!$H$6:$K$6</xm:f>
          </x14:formula1>
          <xm:sqref>I4:I998</xm:sqref>
        </x14:dataValidation>
        <x14:dataValidation type="list" allowBlank="1" showInputMessage="1" showErrorMessage="1" errorTitle="Invalid entry" error="Please select or enter an allowed value." xr:uid="{CAE021A0-2E32-44C6-8876-408362251B2C}">
          <x14:formula1>
            <xm:f>Notes!$H$8:$K$8</xm:f>
          </x14:formula1>
          <xm:sqref>J4:J175</xm:sqref>
        </x14:dataValidation>
        <x14:dataValidation type="list" allowBlank="1" showInputMessage="1" showErrorMessage="1" errorTitle="Invalid entry" error="Please select or enter an allowed value." xr:uid="{A28EF99F-FBBC-42A4-AAB3-F6946A42642E}">
          <x14:formula1>
            <xm:f>Notes!$H$4:$I$4</xm:f>
          </x14:formula1>
          <xm:sqref>O4:O175</xm:sqref>
        </x14:dataValidation>
        <x14:dataValidation type="list" allowBlank="1" showInputMessage="1" showErrorMessage="1" errorTitle="Invalid entry" error="Please select or enter an allowed value." xr:uid="{A05FBD1B-4476-4435-A222-74C498183F8A}">
          <x14:formula1>
            <xm:f>Notes!$H$2:$M$2</xm:f>
          </x14:formula1>
          <xm:sqref>Q176:Q998</xm:sqref>
        </x14:dataValidation>
        <x14:dataValidation type="list" allowBlank="1" showInputMessage="1" showErrorMessage="1" xr:uid="{810B9986-BB47-4B65-B59E-D26D92A0AE0F}">
          <x14:formula1>
            <xm:f>Notes!$H$8:$K$8</xm:f>
          </x14:formula1>
          <xm:sqref>J176:J998</xm:sqref>
        </x14:dataValidation>
        <x14:dataValidation type="list" allowBlank="1" showInputMessage="1" showErrorMessage="1" errorTitle="Invalid date" error="Please choose a date from the dropdown list." promptTitle="Payment Date" prompt="Select a payment date from 01-Jul-2026 onward." xr:uid="{89B48B7C-455F-4689-8EA5-2A6E35386E0C}">
          <x14:formula1>
            <xm:f>Notes!$H$10:$H$374</xm:f>
          </x14:formula1>
          <xm:sqref>K4:K998 L4 M4</xm:sqref>
        </x14:dataValidation>
        <x14:dataValidation type="list" allowBlank="1" showInputMessage="1" showErrorMessage="1" errorTitle="Invalid status" error="Please select a value from the dropdown." promptTitle="Status" prompt="Choose the follow-up status." xr:uid="{787F0181-E115-43F6-9CDD-CD783EF34CD2}">
          <x14:formula1>
            <xm:f>Notes!$H$2:$N$2</xm:f>
          </x14:formula1>
          <xm:sqref>P4:P998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FB66-D1CE-4479-A77E-CB6CE5F547C6}">
  <dimension ref="G2:N374"/>
  <sheetViews>
    <sheetView workbookViewId="0">
      <selection activeCell="G18" sqref="G18"/>
    </sheetView>
  </sheetViews>
  <sheetFormatPr defaultRowHeight="14.4" x14ac:dyDescent="0.3"/>
  <cols>
    <col min="7" max="7" width="20.5546875" bestFit="1" customWidth="1"/>
    <col min="8" max="8" width="16" bestFit="1" customWidth="1"/>
    <col min="9" max="9" width="15.88671875" bestFit="1" customWidth="1"/>
    <col min="10" max="10" width="22" bestFit="1" customWidth="1"/>
    <col min="11" max="11" width="19.109375" bestFit="1" customWidth="1"/>
    <col min="12" max="12" width="12.33203125" bestFit="1" customWidth="1"/>
    <col min="13" max="13" width="12.88671875" bestFit="1" customWidth="1"/>
    <col min="14" max="14" width="5" bestFit="1" customWidth="1"/>
  </cols>
  <sheetData>
    <row r="2" spans="7:14" x14ac:dyDescent="0.3">
      <c r="G2" s="4" t="s">
        <v>705</v>
      </c>
      <c r="H2" s="8" t="s">
        <v>706</v>
      </c>
      <c r="I2" s="8" t="s">
        <v>708</v>
      </c>
      <c r="J2" s="8" t="s">
        <v>709</v>
      </c>
      <c r="K2" s="8" t="s">
        <v>710</v>
      </c>
      <c r="L2" s="8" t="s">
        <v>711</v>
      </c>
      <c r="M2" s="8" t="s">
        <v>712</v>
      </c>
      <c r="N2" s="8" t="s">
        <v>730</v>
      </c>
    </row>
    <row r="3" spans="7:14" x14ac:dyDescent="0.3">
      <c r="G3" s="4"/>
      <c r="H3" s="9"/>
    </row>
    <row r="4" spans="7:14" x14ac:dyDescent="0.3">
      <c r="G4" s="4" t="s">
        <v>707</v>
      </c>
      <c r="H4" s="8" t="s">
        <v>715</v>
      </c>
      <c r="I4" s="8" t="s">
        <v>716</v>
      </c>
    </row>
    <row r="5" spans="7:14" x14ac:dyDescent="0.3">
      <c r="G5" s="10"/>
    </row>
    <row r="6" spans="7:14" x14ac:dyDescent="0.3">
      <c r="G6" s="10" t="s">
        <v>717</v>
      </c>
      <c r="H6" t="s">
        <v>718</v>
      </c>
      <c r="I6" t="s">
        <v>719</v>
      </c>
      <c r="J6" t="s">
        <v>720</v>
      </c>
      <c r="K6" t="s">
        <v>721</v>
      </c>
    </row>
    <row r="7" spans="7:14" x14ac:dyDescent="0.3">
      <c r="G7" s="10"/>
    </row>
    <row r="8" spans="7:14" x14ac:dyDescent="0.3">
      <c r="G8" s="10" t="s">
        <v>722</v>
      </c>
      <c r="H8" t="s">
        <v>723</v>
      </c>
      <c r="I8" t="s">
        <v>724</v>
      </c>
      <c r="J8" t="s">
        <v>725</v>
      </c>
      <c r="K8" t="s">
        <v>726</v>
      </c>
    </row>
    <row r="10" spans="7:14" x14ac:dyDescent="0.3">
      <c r="G10" t="s">
        <v>729</v>
      </c>
      <c r="H10" s="6">
        <v>46204</v>
      </c>
    </row>
    <row r="11" spans="7:14" x14ac:dyDescent="0.3">
      <c r="H11" s="6">
        <v>46205</v>
      </c>
    </row>
    <row r="12" spans="7:14" x14ac:dyDescent="0.3">
      <c r="H12" s="6">
        <v>46206</v>
      </c>
    </row>
    <row r="13" spans="7:14" x14ac:dyDescent="0.3">
      <c r="H13" s="6">
        <v>46207</v>
      </c>
    </row>
    <row r="14" spans="7:14" x14ac:dyDescent="0.3">
      <c r="H14" s="6">
        <v>46208</v>
      </c>
    </row>
    <row r="15" spans="7:14" x14ac:dyDescent="0.3">
      <c r="H15" s="6">
        <v>46209</v>
      </c>
    </row>
    <row r="16" spans="7:14" x14ac:dyDescent="0.3">
      <c r="H16" s="6">
        <v>46210</v>
      </c>
    </row>
    <row r="17" spans="8:8" x14ac:dyDescent="0.3">
      <c r="H17" s="6">
        <v>46211</v>
      </c>
    </row>
    <row r="18" spans="8:8" x14ac:dyDescent="0.3">
      <c r="H18" s="6">
        <v>46212</v>
      </c>
    </row>
    <row r="19" spans="8:8" x14ac:dyDescent="0.3">
      <c r="H19" s="6">
        <v>46213</v>
      </c>
    </row>
    <row r="20" spans="8:8" x14ac:dyDescent="0.3">
      <c r="H20" s="6">
        <v>46214</v>
      </c>
    </row>
    <row r="21" spans="8:8" x14ac:dyDescent="0.3">
      <c r="H21" s="6">
        <v>46215</v>
      </c>
    </row>
    <row r="22" spans="8:8" x14ac:dyDescent="0.3">
      <c r="H22" s="6">
        <v>46216</v>
      </c>
    </row>
    <row r="23" spans="8:8" x14ac:dyDescent="0.3">
      <c r="H23" s="6">
        <v>46217</v>
      </c>
    </row>
    <row r="24" spans="8:8" x14ac:dyDescent="0.3">
      <c r="H24" s="6">
        <v>46218</v>
      </c>
    </row>
    <row r="25" spans="8:8" x14ac:dyDescent="0.3">
      <c r="H25" s="6">
        <v>46219</v>
      </c>
    </row>
    <row r="26" spans="8:8" x14ac:dyDescent="0.3">
      <c r="H26" s="6">
        <v>46220</v>
      </c>
    </row>
    <row r="27" spans="8:8" x14ac:dyDescent="0.3">
      <c r="H27" s="6">
        <v>46221</v>
      </c>
    </row>
    <row r="28" spans="8:8" x14ac:dyDescent="0.3">
      <c r="H28" s="6">
        <v>46222</v>
      </c>
    </row>
    <row r="29" spans="8:8" x14ac:dyDescent="0.3">
      <c r="H29" s="6">
        <v>46223</v>
      </c>
    </row>
    <row r="30" spans="8:8" x14ac:dyDescent="0.3">
      <c r="H30" s="6">
        <v>46224</v>
      </c>
    </row>
    <row r="31" spans="8:8" x14ac:dyDescent="0.3">
      <c r="H31" s="6">
        <v>46225</v>
      </c>
    </row>
    <row r="32" spans="8:8" x14ac:dyDescent="0.3">
      <c r="H32" s="6">
        <v>46226</v>
      </c>
    </row>
    <row r="33" spans="8:8" x14ac:dyDescent="0.3">
      <c r="H33" s="6">
        <v>46227</v>
      </c>
    </row>
    <row r="34" spans="8:8" x14ac:dyDescent="0.3">
      <c r="H34" s="6">
        <v>46228</v>
      </c>
    </row>
    <row r="35" spans="8:8" x14ac:dyDescent="0.3">
      <c r="H35" s="6">
        <v>46229</v>
      </c>
    </row>
    <row r="36" spans="8:8" x14ac:dyDescent="0.3">
      <c r="H36" s="6">
        <v>46230</v>
      </c>
    </row>
    <row r="37" spans="8:8" x14ac:dyDescent="0.3">
      <c r="H37" s="6">
        <v>46231</v>
      </c>
    </row>
    <row r="38" spans="8:8" x14ac:dyDescent="0.3">
      <c r="H38" s="6">
        <v>46232</v>
      </c>
    </row>
    <row r="39" spans="8:8" x14ac:dyDescent="0.3">
      <c r="H39" s="6">
        <v>46233</v>
      </c>
    </row>
    <row r="40" spans="8:8" x14ac:dyDescent="0.3">
      <c r="H40" s="6">
        <v>46234</v>
      </c>
    </row>
    <row r="41" spans="8:8" x14ac:dyDescent="0.3">
      <c r="H41" s="6">
        <v>46235</v>
      </c>
    </row>
    <row r="42" spans="8:8" x14ac:dyDescent="0.3">
      <c r="H42" s="6">
        <v>46236</v>
      </c>
    </row>
    <row r="43" spans="8:8" x14ac:dyDescent="0.3">
      <c r="H43" s="6">
        <v>46237</v>
      </c>
    </row>
    <row r="44" spans="8:8" x14ac:dyDescent="0.3">
      <c r="H44" s="6">
        <v>46238</v>
      </c>
    </row>
    <row r="45" spans="8:8" x14ac:dyDescent="0.3">
      <c r="H45" s="6">
        <v>46239</v>
      </c>
    </row>
    <row r="46" spans="8:8" x14ac:dyDescent="0.3">
      <c r="H46" s="6">
        <v>46240</v>
      </c>
    </row>
    <row r="47" spans="8:8" x14ac:dyDescent="0.3">
      <c r="H47" s="6">
        <v>46241</v>
      </c>
    </row>
    <row r="48" spans="8:8" x14ac:dyDescent="0.3">
      <c r="H48" s="6">
        <v>46242</v>
      </c>
    </row>
    <row r="49" spans="8:8" x14ac:dyDescent="0.3">
      <c r="H49" s="6">
        <v>46243</v>
      </c>
    </row>
    <row r="50" spans="8:8" x14ac:dyDescent="0.3">
      <c r="H50" s="6">
        <v>46244</v>
      </c>
    </row>
    <row r="51" spans="8:8" x14ac:dyDescent="0.3">
      <c r="H51" s="6">
        <v>46245</v>
      </c>
    </row>
    <row r="52" spans="8:8" x14ac:dyDescent="0.3">
      <c r="H52" s="6">
        <v>46246</v>
      </c>
    </row>
    <row r="53" spans="8:8" x14ac:dyDescent="0.3">
      <c r="H53" s="6">
        <v>46247</v>
      </c>
    </row>
    <row r="54" spans="8:8" x14ac:dyDescent="0.3">
      <c r="H54" s="6">
        <v>46248</v>
      </c>
    </row>
    <row r="55" spans="8:8" x14ac:dyDescent="0.3">
      <c r="H55" s="6">
        <v>46249</v>
      </c>
    </row>
    <row r="56" spans="8:8" x14ac:dyDescent="0.3">
      <c r="H56" s="6">
        <v>46250</v>
      </c>
    </row>
    <row r="57" spans="8:8" x14ac:dyDescent="0.3">
      <c r="H57" s="6">
        <v>46251</v>
      </c>
    </row>
    <row r="58" spans="8:8" x14ac:dyDescent="0.3">
      <c r="H58" s="6">
        <v>46252</v>
      </c>
    </row>
    <row r="59" spans="8:8" x14ac:dyDescent="0.3">
      <c r="H59" s="6">
        <v>46253</v>
      </c>
    </row>
    <row r="60" spans="8:8" x14ac:dyDescent="0.3">
      <c r="H60" s="6">
        <v>46254</v>
      </c>
    </row>
    <row r="61" spans="8:8" x14ac:dyDescent="0.3">
      <c r="H61" s="6">
        <v>46255</v>
      </c>
    </row>
    <row r="62" spans="8:8" x14ac:dyDescent="0.3">
      <c r="H62" s="6">
        <v>46256</v>
      </c>
    </row>
    <row r="63" spans="8:8" x14ac:dyDescent="0.3">
      <c r="H63" s="6">
        <v>46257</v>
      </c>
    </row>
    <row r="64" spans="8:8" x14ac:dyDescent="0.3">
      <c r="H64" s="6">
        <v>46258</v>
      </c>
    </row>
    <row r="65" spans="8:8" x14ac:dyDescent="0.3">
      <c r="H65" s="6">
        <v>46259</v>
      </c>
    </row>
    <row r="66" spans="8:8" x14ac:dyDescent="0.3">
      <c r="H66" s="6">
        <v>46260</v>
      </c>
    </row>
    <row r="67" spans="8:8" x14ac:dyDescent="0.3">
      <c r="H67" s="6">
        <v>46261</v>
      </c>
    </row>
    <row r="68" spans="8:8" x14ac:dyDescent="0.3">
      <c r="H68" s="6">
        <v>46262</v>
      </c>
    </row>
    <row r="69" spans="8:8" x14ac:dyDescent="0.3">
      <c r="H69" s="6">
        <v>46263</v>
      </c>
    </row>
    <row r="70" spans="8:8" x14ac:dyDescent="0.3">
      <c r="H70" s="6">
        <v>46264</v>
      </c>
    </row>
    <row r="71" spans="8:8" x14ac:dyDescent="0.3">
      <c r="H71" s="6">
        <v>46265</v>
      </c>
    </row>
    <row r="72" spans="8:8" x14ac:dyDescent="0.3">
      <c r="H72" s="6">
        <v>46266</v>
      </c>
    </row>
    <row r="73" spans="8:8" x14ac:dyDescent="0.3">
      <c r="H73" s="6">
        <v>46267</v>
      </c>
    </row>
    <row r="74" spans="8:8" x14ac:dyDescent="0.3">
      <c r="H74" s="6">
        <v>46268</v>
      </c>
    </row>
    <row r="75" spans="8:8" x14ac:dyDescent="0.3">
      <c r="H75" s="6">
        <v>46269</v>
      </c>
    </row>
    <row r="76" spans="8:8" x14ac:dyDescent="0.3">
      <c r="H76" s="6">
        <v>46270</v>
      </c>
    </row>
    <row r="77" spans="8:8" x14ac:dyDescent="0.3">
      <c r="H77" s="6">
        <v>46271</v>
      </c>
    </row>
    <row r="78" spans="8:8" x14ac:dyDescent="0.3">
      <c r="H78" s="6">
        <v>46272</v>
      </c>
    </row>
    <row r="79" spans="8:8" x14ac:dyDescent="0.3">
      <c r="H79" s="6">
        <v>46273</v>
      </c>
    </row>
    <row r="80" spans="8:8" x14ac:dyDescent="0.3">
      <c r="H80" s="6">
        <v>46274</v>
      </c>
    </row>
    <row r="81" spans="8:8" x14ac:dyDescent="0.3">
      <c r="H81" s="6">
        <v>46275</v>
      </c>
    </row>
    <row r="82" spans="8:8" x14ac:dyDescent="0.3">
      <c r="H82" s="6">
        <v>46276</v>
      </c>
    </row>
    <row r="83" spans="8:8" x14ac:dyDescent="0.3">
      <c r="H83" s="6">
        <v>46277</v>
      </c>
    </row>
    <row r="84" spans="8:8" x14ac:dyDescent="0.3">
      <c r="H84" s="6">
        <v>46278</v>
      </c>
    </row>
    <row r="85" spans="8:8" x14ac:dyDescent="0.3">
      <c r="H85" s="6">
        <v>46279</v>
      </c>
    </row>
    <row r="86" spans="8:8" x14ac:dyDescent="0.3">
      <c r="H86" s="6">
        <v>46280</v>
      </c>
    </row>
    <row r="87" spans="8:8" x14ac:dyDescent="0.3">
      <c r="H87" s="6">
        <v>46281</v>
      </c>
    </row>
    <row r="88" spans="8:8" x14ac:dyDescent="0.3">
      <c r="H88" s="6">
        <v>46282</v>
      </c>
    </row>
    <row r="89" spans="8:8" x14ac:dyDescent="0.3">
      <c r="H89" s="6">
        <v>46283</v>
      </c>
    </row>
    <row r="90" spans="8:8" x14ac:dyDescent="0.3">
      <c r="H90" s="6">
        <v>46284</v>
      </c>
    </row>
    <row r="91" spans="8:8" x14ac:dyDescent="0.3">
      <c r="H91" s="6">
        <v>46285</v>
      </c>
    </row>
    <row r="92" spans="8:8" x14ac:dyDescent="0.3">
      <c r="H92" s="6">
        <v>46286</v>
      </c>
    </row>
    <row r="93" spans="8:8" x14ac:dyDescent="0.3">
      <c r="H93" s="6">
        <v>46287</v>
      </c>
    </row>
    <row r="94" spans="8:8" x14ac:dyDescent="0.3">
      <c r="H94" s="6">
        <v>46288</v>
      </c>
    </row>
    <row r="95" spans="8:8" x14ac:dyDescent="0.3">
      <c r="H95" s="6">
        <v>46289</v>
      </c>
    </row>
    <row r="96" spans="8:8" x14ac:dyDescent="0.3">
      <c r="H96" s="6">
        <v>46290</v>
      </c>
    </row>
    <row r="97" spans="8:8" x14ac:dyDescent="0.3">
      <c r="H97" s="6">
        <v>46291</v>
      </c>
    </row>
    <row r="98" spans="8:8" x14ac:dyDescent="0.3">
      <c r="H98" s="6">
        <v>46292</v>
      </c>
    </row>
    <row r="99" spans="8:8" x14ac:dyDescent="0.3">
      <c r="H99" s="6">
        <v>46293</v>
      </c>
    </row>
    <row r="100" spans="8:8" x14ac:dyDescent="0.3">
      <c r="H100" s="6">
        <v>46294</v>
      </c>
    </row>
    <row r="101" spans="8:8" x14ac:dyDescent="0.3">
      <c r="H101" s="6">
        <v>46295</v>
      </c>
    </row>
    <row r="102" spans="8:8" x14ac:dyDescent="0.3">
      <c r="H102" s="6">
        <v>46296</v>
      </c>
    </row>
    <row r="103" spans="8:8" x14ac:dyDescent="0.3">
      <c r="H103" s="6">
        <v>46297</v>
      </c>
    </row>
    <row r="104" spans="8:8" x14ac:dyDescent="0.3">
      <c r="H104" s="6">
        <v>46298</v>
      </c>
    </row>
    <row r="105" spans="8:8" x14ac:dyDescent="0.3">
      <c r="H105" s="6">
        <v>46299</v>
      </c>
    </row>
    <row r="106" spans="8:8" x14ac:dyDescent="0.3">
      <c r="H106" s="6">
        <v>46300</v>
      </c>
    </row>
    <row r="107" spans="8:8" x14ac:dyDescent="0.3">
      <c r="H107" s="6">
        <v>46301</v>
      </c>
    </row>
    <row r="108" spans="8:8" x14ac:dyDescent="0.3">
      <c r="H108" s="6">
        <v>46302</v>
      </c>
    </row>
    <row r="109" spans="8:8" x14ac:dyDescent="0.3">
      <c r="H109" s="6">
        <v>46303</v>
      </c>
    </row>
    <row r="110" spans="8:8" x14ac:dyDescent="0.3">
      <c r="H110" s="6">
        <v>46304</v>
      </c>
    </row>
    <row r="111" spans="8:8" x14ac:dyDescent="0.3">
      <c r="H111" s="6">
        <v>46305</v>
      </c>
    </row>
    <row r="112" spans="8:8" x14ac:dyDescent="0.3">
      <c r="H112" s="6">
        <v>46306</v>
      </c>
    </row>
    <row r="113" spans="8:8" x14ac:dyDescent="0.3">
      <c r="H113" s="6">
        <v>46307</v>
      </c>
    </row>
    <row r="114" spans="8:8" x14ac:dyDescent="0.3">
      <c r="H114" s="6">
        <v>46308</v>
      </c>
    </row>
    <row r="115" spans="8:8" x14ac:dyDescent="0.3">
      <c r="H115" s="6">
        <v>46309</v>
      </c>
    </row>
    <row r="116" spans="8:8" x14ac:dyDescent="0.3">
      <c r="H116" s="6">
        <v>46310</v>
      </c>
    </row>
    <row r="117" spans="8:8" x14ac:dyDescent="0.3">
      <c r="H117" s="6">
        <v>46311</v>
      </c>
    </row>
    <row r="118" spans="8:8" x14ac:dyDescent="0.3">
      <c r="H118" s="6">
        <v>46312</v>
      </c>
    </row>
    <row r="119" spans="8:8" x14ac:dyDescent="0.3">
      <c r="H119" s="6">
        <v>46313</v>
      </c>
    </row>
    <row r="120" spans="8:8" x14ac:dyDescent="0.3">
      <c r="H120" s="6">
        <v>46314</v>
      </c>
    </row>
    <row r="121" spans="8:8" x14ac:dyDescent="0.3">
      <c r="H121" s="6">
        <v>46315</v>
      </c>
    </row>
    <row r="122" spans="8:8" x14ac:dyDescent="0.3">
      <c r="H122" s="6">
        <v>46316</v>
      </c>
    </row>
    <row r="123" spans="8:8" x14ac:dyDescent="0.3">
      <c r="H123" s="6">
        <v>46317</v>
      </c>
    </row>
    <row r="124" spans="8:8" x14ac:dyDescent="0.3">
      <c r="H124" s="6">
        <v>46318</v>
      </c>
    </row>
    <row r="125" spans="8:8" x14ac:dyDescent="0.3">
      <c r="H125" s="6">
        <v>46319</v>
      </c>
    </row>
    <row r="126" spans="8:8" x14ac:dyDescent="0.3">
      <c r="H126" s="6">
        <v>46320</v>
      </c>
    </row>
    <row r="127" spans="8:8" x14ac:dyDescent="0.3">
      <c r="H127" s="6">
        <v>46321</v>
      </c>
    </row>
    <row r="128" spans="8:8" x14ac:dyDescent="0.3">
      <c r="H128" s="6">
        <v>46322</v>
      </c>
    </row>
    <row r="129" spans="8:8" x14ac:dyDescent="0.3">
      <c r="H129" s="6">
        <v>46323</v>
      </c>
    </row>
    <row r="130" spans="8:8" x14ac:dyDescent="0.3">
      <c r="H130" s="6">
        <v>46324</v>
      </c>
    </row>
    <row r="131" spans="8:8" x14ac:dyDescent="0.3">
      <c r="H131" s="6">
        <v>46325</v>
      </c>
    </row>
    <row r="132" spans="8:8" x14ac:dyDescent="0.3">
      <c r="H132" s="6">
        <v>46326</v>
      </c>
    </row>
    <row r="133" spans="8:8" x14ac:dyDescent="0.3">
      <c r="H133" s="6">
        <v>46327</v>
      </c>
    </row>
    <row r="134" spans="8:8" x14ac:dyDescent="0.3">
      <c r="H134" s="6">
        <v>46328</v>
      </c>
    </row>
    <row r="135" spans="8:8" x14ac:dyDescent="0.3">
      <c r="H135" s="6">
        <v>46329</v>
      </c>
    </row>
    <row r="136" spans="8:8" x14ac:dyDescent="0.3">
      <c r="H136" s="6">
        <v>46330</v>
      </c>
    </row>
    <row r="137" spans="8:8" x14ac:dyDescent="0.3">
      <c r="H137" s="6">
        <v>46331</v>
      </c>
    </row>
    <row r="138" spans="8:8" x14ac:dyDescent="0.3">
      <c r="H138" s="6">
        <v>46332</v>
      </c>
    </row>
    <row r="139" spans="8:8" x14ac:dyDescent="0.3">
      <c r="H139" s="6">
        <v>46333</v>
      </c>
    </row>
    <row r="140" spans="8:8" x14ac:dyDescent="0.3">
      <c r="H140" s="6">
        <v>46334</v>
      </c>
    </row>
    <row r="141" spans="8:8" x14ac:dyDescent="0.3">
      <c r="H141" s="6">
        <v>46335</v>
      </c>
    </row>
    <row r="142" spans="8:8" x14ac:dyDescent="0.3">
      <c r="H142" s="6">
        <v>46336</v>
      </c>
    </row>
    <row r="143" spans="8:8" x14ac:dyDescent="0.3">
      <c r="H143" s="6">
        <v>46337</v>
      </c>
    </row>
    <row r="144" spans="8:8" x14ac:dyDescent="0.3">
      <c r="H144" s="6">
        <v>46338</v>
      </c>
    </row>
    <row r="145" spans="8:8" x14ac:dyDescent="0.3">
      <c r="H145" s="6">
        <v>46339</v>
      </c>
    </row>
    <row r="146" spans="8:8" x14ac:dyDescent="0.3">
      <c r="H146" s="6">
        <v>46340</v>
      </c>
    </row>
    <row r="147" spans="8:8" x14ac:dyDescent="0.3">
      <c r="H147" s="6">
        <v>46341</v>
      </c>
    </row>
    <row r="148" spans="8:8" x14ac:dyDescent="0.3">
      <c r="H148" s="6">
        <v>46342</v>
      </c>
    </row>
    <row r="149" spans="8:8" x14ac:dyDescent="0.3">
      <c r="H149" s="6">
        <v>46343</v>
      </c>
    </row>
    <row r="150" spans="8:8" x14ac:dyDescent="0.3">
      <c r="H150" s="6">
        <v>46344</v>
      </c>
    </row>
    <row r="151" spans="8:8" x14ac:dyDescent="0.3">
      <c r="H151" s="6">
        <v>46345</v>
      </c>
    </row>
    <row r="152" spans="8:8" x14ac:dyDescent="0.3">
      <c r="H152" s="6">
        <v>46346</v>
      </c>
    </row>
    <row r="153" spans="8:8" x14ac:dyDescent="0.3">
      <c r="H153" s="6">
        <v>46347</v>
      </c>
    </row>
    <row r="154" spans="8:8" x14ac:dyDescent="0.3">
      <c r="H154" s="6">
        <v>46348</v>
      </c>
    </row>
    <row r="155" spans="8:8" x14ac:dyDescent="0.3">
      <c r="H155" s="6">
        <v>46349</v>
      </c>
    </row>
    <row r="156" spans="8:8" x14ac:dyDescent="0.3">
      <c r="H156" s="6">
        <v>46350</v>
      </c>
    </row>
    <row r="157" spans="8:8" x14ac:dyDescent="0.3">
      <c r="H157" s="6">
        <v>46351</v>
      </c>
    </row>
    <row r="158" spans="8:8" x14ac:dyDescent="0.3">
      <c r="H158" s="6">
        <v>46352</v>
      </c>
    </row>
    <row r="159" spans="8:8" x14ac:dyDescent="0.3">
      <c r="H159" s="6">
        <v>46353</v>
      </c>
    </row>
    <row r="160" spans="8:8" x14ac:dyDescent="0.3">
      <c r="H160" s="6">
        <v>46354</v>
      </c>
    </row>
    <row r="161" spans="8:8" x14ac:dyDescent="0.3">
      <c r="H161" s="6">
        <v>46355</v>
      </c>
    </row>
    <row r="162" spans="8:8" x14ac:dyDescent="0.3">
      <c r="H162" s="6">
        <v>46356</v>
      </c>
    </row>
    <row r="163" spans="8:8" x14ac:dyDescent="0.3">
      <c r="H163" s="6">
        <v>46357</v>
      </c>
    </row>
    <row r="164" spans="8:8" x14ac:dyDescent="0.3">
      <c r="H164" s="6">
        <v>46358</v>
      </c>
    </row>
    <row r="165" spans="8:8" x14ac:dyDescent="0.3">
      <c r="H165" s="6">
        <v>46359</v>
      </c>
    </row>
    <row r="166" spans="8:8" x14ac:dyDescent="0.3">
      <c r="H166" s="6">
        <v>46360</v>
      </c>
    </row>
    <row r="167" spans="8:8" x14ac:dyDescent="0.3">
      <c r="H167" s="6">
        <v>46361</v>
      </c>
    </row>
    <row r="168" spans="8:8" x14ac:dyDescent="0.3">
      <c r="H168" s="6">
        <v>46362</v>
      </c>
    </row>
    <row r="169" spans="8:8" x14ac:dyDescent="0.3">
      <c r="H169" s="6">
        <v>46363</v>
      </c>
    </row>
    <row r="170" spans="8:8" x14ac:dyDescent="0.3">
      <c r="H170" s="6">
        <v>46364</v>
      </c>
    </row>
    <row r="171" spans="8:8" x14ac:dyDescent="0.3">
      <c r="H171" s="6">
        <v>46365</v>
      </c>
    </row>
    <row r="172" spans="8:8" x14ac:dyDescent="0.3">
      <c r="H172" s="6">
        <v>46366</v>
      </c>
    </row>
    <row r="173" spans="8:8" x14ac:dyDescent="0.3">
      <c r="H173" s="6">
        <v>46367</v>
      </c>
    </row>
    <row r="174" spans="8:8" x14ac:dyDescent="0.3">
      <c r="H174" s="6">
        <v>46368</v>
      </c>
    </row>
    <row r="175" spans="8:8" x14ac:dyDescent="0.3">
      <c r="H175" s="6">
        <v>46369</v>
      </c>
    </row>
    <row r="176" spans="8:8" x14ac:dyDescent="0.3">
      <c r="H176" s="6">
        <v>46370</v>
      </c>
    </row>
    <row r="177" spans="8:8" x14ac:dyDescent="0.3">
      <c r="H177" s="6">
        <v>46371</v>
      </c>
    </row>
    <row r="178" spans="8:8" x14ac:dyDescent="0.3">
      <c r="H178" s="6">
        <v>46372</v>
      </c>
    </row>
    <row r="179" spans="8:8" x14ac:dyDescent="0.3">
      <c r="H179" s="6">
        <v>46373</v>
      </c>
    </row>
    <row r="180" spans="8:8" x14ac:dyDescent="0.3">
      <c r="H180" s="6">
        <v>46374</v>
      </c>
    </row>
    <row r="181" spans="8:8" x14ac:dyDescent="0.3">
      <c r="H181" s="6">
        <v>46375</v>
      </c>
    </row>
    <row r="182" spans="8:8" x14ac:dyDescent="0.3">
      <c r="H182" s="6">
        <v>46376</v>
      </c>
    </row>
    <row r="183" spans="8:8" x14ac:dyDescent="0.3">
      <c r="H183" s="6">
        <v>46377</v>
      </c>
    </row>
    <row r="184" spans="8:8" x14ac:dyDescent="0.3">
      <c r="H184" s="6">
        <v>46378</v>
      </c>
    </row>
    <row r="185" spans="8:8" x14ac:dyDescent="0.3">
      <c r="H185" s="6">
        <v>46379</v>
      </c>
    </row>
    <row r="186" spans="8:8" x14ac:dyDescent="0.3">
      <c r="H186" s="6">
        <v>46380</v>
      </c>
    </row>
    <row r="187" spans="8:8" x14ac:dyDescent="0.3">
      <c r="H187" s="6">
        <v>46381</v>
      </c>
    </row>
    <row r="188" spans="8:8" x14ac:dyDescent="0.3">
      <c r="H188" s="6">
        <v>46382</v>
      </c>
    </row>
    <row r="189" spans="8:8" x14ac:dyDescent="0.3">
      <c r="H189" s="6">
        <v>46383</v>
      </c>
    </row>
    <row r="190" spans="8:8" x14ac:dyDescent="0.3">
      <c r="H190" s="6">
        <v>46384</v>
      </c>
    </row>
    <row r="191" spans="8:8" x14ac:dyDescent="0.3">
      <c r="H191" s="6">
        <v>46385</v>
      </c>
    </row>
    <row r="192" spans="8:8" x14ac:dyDescent="0.3">
      <c r="H192" s="6">
        <v>46386</v>
      </c>
    </row>
    <row r="193" spans="8:8" x14ac:dyDescent="0.3">
      <c r="H193" s="6">
        <v>46387</v>
      </c>
    </row>
    <row r="194" spans="8:8" x14ac:dyDescent="0.3">
      <c r="H194" s="6">
        <v>46388</v>
      </c>
    </row>
    <row r="195" spans="8:8" x14ac:dyDescent="0.3">
      <c r="H195" s="6">
        <v>46389</v>
      </c>
    </row>
    <row r="196" spans="8:8" x14ac:dyDescent="0.3">
      <c r="H196" s="6">
        <v>46390</v>
      </c>
    </row>
    <row r="197" spans="8:8" x14ac:dyDescent="0.3">
      <c r="H197" s="6">
        <v>46391</v>
      </c>
    </row>
    <row r="198" spans="8:8" x14ac:dyDescent="0.3">
      <c r="H198" s="6">
        <v>46392</v>
      </c>
    </row>
    <row r="199" spans="8:8" x14ac:dyDescent="0.3">
      <c r="H199" s="6">
        <v>46393</v>
      </c>
    </row>
    <row r="200" spans="8:8" x14ac:dyDescent="0.3">
      <c r="H200" s="6">
        <v>46394</v>
      </c>
    </row>
    <row r="201" spans="8:8" x14ac:dyDescent="0.3">
      <c r="H201" s="6">
        <v>46395</v>
      </c>
    </row>
    <row r="202" spans="8:8" x14ac:dyDescent="0.3">
      <c r="H202" s="6">
        <v>46396</v>
      </c>
    </row>
    <row r="203" spans="8:8" x14ac:dyDescent="0.3">
      <c r="H203" s="6">
        <v>46397</v>
      </c>
    </row>
    <row r="204" spans="8:8" x14ac:dyDescent="0.3">
      <c r="H204" s="6">
        <v>46398</v>
      </c>
    </row>
    <row r="205" spans="8:8" x14ac:dyDescent="0.3">
      <c r="H205" s="6">
        <v>46399</v>
      </c>
    </row>
    <row r="206" spans="8:8" x14ac:dyDescent="0.3">
      <c r="H206" s="6">
        <v>46400</v>
      </c>
    </row>
    <row r="207" spans="8:8" x14ac:dyDescent="0.3">
      <c r="H207" s="6">
        <v>46401</v>
      </c>
    </row>
    <row r="208" spans="8:8" x14ac:dyDescent="0.3">
      <c r="H208" s="6">
        <v>46402</v>
      </c>
    </row>
    <row r="209" spans="8:8" x14ac:dyDescent="0.3">
      <c r="H209" s="6">
        <v>46403</v>
      </c>
    </row>
    <row r="210" spans="8:8" x14ac:dyDescent="0.3">
      <c r="H210" s="6">
        <v>46404</v>
      </c>
    </row>
    <row r="211" spans="8:8" x14ac:dyDescent="0.3">
      <c r="H211" s="6">
        <v>46405</v>
      </c>
    </row>
    <row r="212" spans="8:8" x14ac:dyDescent="0.3">
      <c r="H212" s="6">
        <v>46406</v>
      </c>
    </row>
    <row r="213" spans="8:8" x14ac:dyDescent="0.3">
      <c r="H213" s="6">
        <v>46407</v>
      </c>
    </row>
    <row r="214" spans="8:8" x14ac:dyDescent="0.3">
      <c r="H214" s="6">
        <v>46408</v>
      </c>
    </row>
    <row r="215" spans="8:8" x14ac:dyDescent="0.3">
      <c r="H215" s="6">
        <v>46409</v>
      </c>
    </row>
    <row r="216" spans="8:8" x14ac:dyDescent="0.3">
      <c r="H216" s="6">
        <v>46410</v>
      </c>
    </row>
    <row r="217" spans="8:8" x14ac:dyDescent="0.3">
      <c r="H217" s="6">
        <v>46411</v>
      </c>
    </row>
    <row r="218" spans="8:8" x14ac:dyDescent="0.3">
      <c r="H218" s="6">
        <v>46412</v>
      </c>
    </row>
    <row r="219" spans="8:8" x14ac:dyDescent="0.3">
      <c r="H219" s="6">
        <v>46413</v>
      </c>
    </row>
    <row r="220" spans="8:8" x14ac:dyDescent="0.3">
      <c r="H220" s="6">
        <v>46414</v>
      </c>
    </row>
    <row r="221" spans="8:8" x14ac:dyDescent="0.3">
      <c r="H221" s="6">
        <v>46415</v>
      </c>
    </row>
    <row r="222" spans="8:8" x14ac:dyDescent="0.3">
      <c r="H222" s="6">
        <v>46416</v>
      </c>
    </row>
    <row r="223" spans="8:8" x14ac:dyDescent="0.3">
      <c r="H223" s="6">
        <v>46417</v>
      </c>
    </row>
    <row r="224" spans="8:8" x14ac:dyDescent="0.3">
      <c r="H224" s="6">
        <v>46418</v>
      </c>
    </row>
    <row r="225" spans="8:8" x14ac:dyDescent="0.3">
      <c r="H225" s="6">
        <v>46419</v>
      </c>
    </row>
    <row r="226" spans="8:8" x14ac:dyDescent="0.3">
      <c r="H226" s="6">
        <v>46420</v>
      </c>
    </row>
    <row r="227" spans="8:8" x14ac:dyDescent="0.3">
      <c r="H227" s="6">
        <v>46421</v>
      </c>
    </row>
    <row r="228" spans="8:8" x14ac:dyDescent="0.3">
      <c r="H228" s="6">
        <v>46422</v>
      </c>
    </row>
    <row r="229" spans="8:8" x14ac:dyDescent="0.3">
      <c r="H229" s="6">
        <v>46423</v>
      </c>
    </row>
    <row r="230" spans="8:8" x14ac:dyDescent="0.3">
      <c r="H230" s="6">
        <v>46424</v>
      </c>
    </row>
    <row r="231" spans="8:8" x14ac:dyDescent="0.3">
      <c r="H231" s="6">
        <v>46425</v>
      </c>
    </row>
    <row r="232" spans="8:8" x14ac:dyDescent="0.3">
      <c r="H232" s="6">
        <v>46426</v>
      </c>
    </row>
    <row r="233" spans="8:8" x14ac:dyDescent="0.3">
      <c r="H233" s="6">
        <v>46427</v>
      </c>
    </row>
    <row r="234" spans="8:8" x14ac:dyDescent="0.3">
      <c r="H234" s="6">
        <v>46428</v>
      </c>
    </row>
    <row r="235" spans="8:8" x14ac:dyDescent="0.3">
      <c r="H235" s="6">
        <v>46429</v>
      </c>
    </row>
    <row r="236" spans="8:8" x14ac:dyDescent="0.3">
      <c r="H236" s="6">
        <v>46430</v>
      </c>
    </row>
    <row r="237" spans="8:8" x14ac:dyDescent="0.3">
      <c r="H237" s="6">
        <v>46431</v>
      </c>
    </row>
    <row r="238" spans="8:8" x14ac:dyDescent="0.3">
      <c r="H238" s="6">
        <v>46432</v>
      </c>
    </row>
    <row r="239" spans="8:8" x14ac:dyDescent="0.3">
      <c r="H239" s="6">
        <v>46433</v>
      </c>
    </row>
    <row r="240" spans="8:8" x14ac:dyDescent="0.3">
      <c r="H240" s="6">
        <v>46434</v>
      </c>
    </row>
    <row r="241" spans="8:8" x14ac:dyDescent="0.3">
      <c r="H241" s="6">
        <v>46435</v>
      </c>
    </row>
    <row r="242" spans="8:8" x14ac:dyDescent="0.3">
      <c r="H242" s="6">
        <v>46436</v>
      </c>
    </row>
    <row r="243" spans="8:8" x14ac:dyDescent="0.3">
      <c r="H243" s="6">
        <v>46437</v>
      </c>
    </row>
    <row r="244" spans="8:8" x14ac:dyDescent="0.3">
      <c r="H244" s="6">
        <v>46438</v>
      </c>
    </row>
    <row r="245" spans="8:8" x14ac:dyDescent="0.3">
      <c r="H245" s="6">
        <v>46439</v>
      </c>
    </row>
    <row r="246" spans="8:8" x14ac:dyDescent="0.3">
      <c r="H246" s="6">
        <v>46440</v>
      </c>
    </row>
    <row r="247" spans="8:8" x14ac:dyDescent="0.3">
      <c r="H247" s="6">
        <v>46441</v>
      </c>
    </row>
    <row r="248" spans="8:8" x14ac:dyDescent="0.3">
      <c r="H248" s="6">
        <v>46442</v>
      </c>
    </row>
    <row r="249" spans="8:8" x14ac:dyDescent="0.3">
      <c r="H249" s="6">
        <v>46443</v>
      </c>
    </row>
    <row r="250" spans="8:8" x14ac:dyDescent="0.3">
      <c r="H250" s="6">
        <v>46444</v>
      </c>
    </row>
    <row r="251" spans="8:8" x14ac:dyDescent="0.3">
      <c r="H251" s="6">
        <v>46445</v>
      </c>
    </row>
    <row r="252" spans="8:8" x14ac:dyDescent="0.3">
      <c r="H252" s="6">
        <v>46446</v>
      </c>
    </row>
    <row r="253" spans="8:8" x14ac:dyDescent="0.3">
      <c r="H253" s="6">
        <v>46447</v>
      </c>
    </row>
    <row r="254" spans="8:8" x14ac:dyDescent="0.3">
      <c r="H254" s="6">
        <v>46448</v>
      </c>
    </row>
    <row r="255" spans="8:8" x14ac:dyDescent="0.3">
      <c r="H255" s="6">
        <v>46449</v>
      </c>
    </row>
    <row r="256" spans="8:8" x14ac:dyDescent="0.3">
      <c r="H256" s="6">
        <v>46450</v>
      </c>
    </row>
    <row r="257" spans="8:8" x14ac:dyDescent="0.3">
      <c r="H257" s="6">
        <v>46451</v>
      </c>
    </row>
    <row r="258" spans="8:8" x14ac:dyDescent="0.3">
      <c r="H258" s="6">
        <v>46452</v>
      </c>
    </row>
    <row r="259" spans="8:8" x14ac:dyDescent="0.3">
      <c r="H259" s="6">
        <v>46453</v>
      </c>
    </row>
    <row r="260" spans="8:8" x14ac:dyDescent="0.3">
      <c r="H260" s="6">
        <v>46454</v>
      </c>
    </row>
    <row r="261" spans="8:8" x14ac:dyDescent="0.3">
      <c r="H261" s="6">
        <v>46455</v>
      </c>
    </row>
    <row r="262" spans="8:8" x14ac:dyDescent="0.3">
      <c r="H262" s="6">
        <v>46456</v>
      </c>
    </row>
    <row r="263" spans="8:8" x14ac:dyDescent="0.3">
      <c r="H263" s="6">
        <v>46457</v>
      </c>
    </row>
    <row r="264" spans="8:8" x14ac:dyDescent="0.3">
      <c r="H264" s="6">
        <v>46458</v>
      </c>
    </row>
    <row r="265" spans="8:8" x14ac:dyDescent="0.3">
      <c r="H265" s="6">
        <v>46459</v>
      </c>
    </row>
    <row r="266" spans="8:8" x14ac:dyDescent="0.3">
      <c r="H266" s="6">
        <v>46460</v>
      </c>
    </row>
    <row r="267" spans="8:8" x14ac:dyDescent="0.3">
      <c r="H267" s="6">
        <v>46461</v>
      </c>
    </row>
    <row r="268" spans="8:8" x14ac:dyDescent="0.3">
      <c r="H268" s="6">
        <v>46462</v>
      </c>
    </row>
    <row r="269" spans="8:8" x14ac:dyDescent="0.3">
      <c r="H269" s="6">
        <v>46463</v>
      </c>
    </row>
    <row r="270" spans="8:8" x14ac:dyDescent="0.3">
      <c r="H270" s="6">
        <v>46464</v>
      </c>
    </row>
    <row r="271" spans="8:8" x14ac:dyDescent="0.3">
      <c r="H271" s="6">
        <v>46465</v>
      </c>
    </row>
    <row r="272" spans="8:8" x14ac:dyDescent="0.3">
      <c r="H272" s="6">
        <v>46466</v>
      </c>
    </row>
    <row r="273" spans="8:8" x14ac:dyDescent="0.3">
      <c r="H273" s="6">
        <v>46467</v>
      </c>
    </row>
    <row r="274" spans="8:8" x14ac:dyDescent="0.3">
      <c r="H274" s="6">
        <v>46468</v>
      </c>
    </row>
    <row r="275" spans="8:8" x14ac:dyDescent="0.3">
      <c r="H275" s="6">
        <v>46469</v>
      </c>
    </row>
    <row r="276" spans="8:8" x14ac:dyDescent="0.3">
      <c r="H276" s="6">
        <v>46470</v>
      </c>
    </row>
    <row r="277" spans="8:8" x14ac:dyDescent="0.3">
      <c r="H277" s="6">
        <v>46471</v>
      </c>
    </row>
    <row r="278" spans="8:8" x14ac:dyDescent="0.3">
      <c r="H278" s="6">
        <v>46472</v>
      </c>
    </row>
    <row r="279" spans="8:8" x14ac:dyDescent="0.3">
      <c r="H279" s="6">
        <v>46473</v>
      </c>
    </row>
    <row r="280" spans="8:8" x14ac:dyDescent="0.3">
      <c r="H280" s="6">
        <v>46474</v>
      </c>
    </row>
    <row r="281" spans="8:8" x14ac:dyDescent="0.3">
      <c r="H281" s="6">
        <v>46475</v>
      </c>
    </row>
    <row r="282" spans="8:8" x14ac:dyDescent="0.3">
      <c r="H282" s="6">
        <v>46476</v>
      </c>
    </row>
    <row r="283" spans="8:8" x14ac:dyDescent="0.3">
      <c r="H283" s="6">
        <v>46477</v>
      </c>
    </row>
    <row r="284" spans="8:8" x14ac:dyDescent="0.3">
      <c r="H284" s="6">
        <v>46478</v>
      </c>
    </row>
    <row r="285" spans="8:8" x14ac:dyDescent="0.3">
      <c r="H285" s="6">
        <v>46479</v>
      </c>
    </row>
    <row r="286" spans="8:8" x14ac:dyDescent="0.3">
      <c r="H286" s="6">
        <v>46480</v>
      </c>
    </row>
    <row r="287" spans="8:8" x14ac:dyDescent="0.3">
      <c r="H287" s="6">
        <v>46481</v>
      </c>
    </row>
    <row r="288" spans="8:8" x14ac:dyDescent="0.3">
      <c r="H288" s="6">
        <v>46482</v>
      </c>
    </row>
    <row r="289" spans="8:8" x14ac:dyDescent="0.3">
      <c r="H289" s="6">
        <v>46483</v>
      </c>
    </row>
    <row r="290" spans="8:8" x14ac:dyDescent="0.3">
      <c r="H290" s="6">
        <v>46484</v>
      </c>
    </row>
    <row r="291" spans="8:8" x14ac:dyDescent="0.3">
      <c r="H291" s="6">
        <v>46485</v>
      </c>
    </row>
    <row r="292" spans="8:8" x14ac:dyDescent="0.3">
      <c r="H292" s="6">
        <v>46486</v>
      </c>
    </row>
    <row r="293" spans="8:8" x14ac:dyDescent="0.3">
      <c r="H293" s="6">
        <v>46487</v>
      </c>
    </row>
    <row r="294" spans="8:8" x14ac:dyDescent="0.3">
      <c r="H294" s="6">
        <v>46488</v>
      </c>
    </row>
    <row r="295" spans="8:8" x14ac:dyDescent="0.3">
      <c r="H295" s="6">
        <v>46489</v>
      </c>
    </row>
    <row r="296" spans="8:8" x14ac:dyDescent="0.3">
      <c r="H296" s="6">
        <v>46490</v>
      </c>
    </row>
    <row r="297" spans="8:8" x14ac:dyDescent="0.3">
      <c r="H297" s="6">
        <v>46491</v>
      </c>
    </row>
    <row r="298" spans="8:8" x14ac:dyDescent="0.3">
      <c r="H298" s="6">
        <v>46492</v>
      </c>
    </row>
    <row r="299" spans="8:8" x14ac:dyDescent="0.3">
      <c r="H299" s="6">
        <v>46493</v>
      </c>
    </row>
    <row r="300" spans="8:8" x14ac:dyDescent="0.3">
      <c r="H300" s="6">
        <v>46494</v>
      </c>
    </row>
    <row r="301" spans="8:8" x14ac:dyDescent="0.3">
      <c r="H301" s="6">
        <v>46495</v>
      </c>
    </row>
    <row r="302" spans="8:8" x14ac:dyDescent="0.3">
      <c r="H302" s="6">
        <v>46496</v>
      </c>
    </row>
    <row r="303" spans="8:8" x14ac:dyDescent="0.3">
      <c r="H303" s="6">
        <v>46497</v>
      </c>
    </row>
    <row r="304" spans="8:8" x14ac:dyDescent="0.3">
      <c r="H304" s="6">
        <v>46498</v>
      </c>
    </row>
    <row r="305" spans="8:8" x14ac:dyDescent="0.3">
      <c r="H305" s="6">
        <v>46499</v>
      </c>
    </row>
    <row r="306" spans="8:8" x14ac:dyDescent="0.3">
      <c r="H306" s="6">
        <v>46500</v>
      </c>
    </row>
    <row r="307" spans="8:8" x14ac:dyDescent="0.3">
      <c r="H307" s="6">
        <v>46501</v>
      </c>
    </row>
    <row r="308" spans="8:8" x14ac:dyDescent="0.3">
      <c r="H308" s="6">
        <v>46502</v>
      </c>
    </row>
    <row r="309" spans="8:8" x14ac:dyDescent="0.3">
      <c r="H309" s="6">
        <v>46503</v>
      </c>
    </row>
    <row r="310" spans="8:8" x14ac:dyDescent="0.3">
      <c r="H310" s="6">
        <v>46504</v>
      </c>
    </row>
    <row r="311" spans="8:8" x14ac:dyDescent="0.3">
      <c r="H311" s="6">
        <v>46505</v>
      </c>
    </row>
    <row r="312" spans="8:8" x14ac:dyDescent="0.3">
      <c r="H312" s="6">
        <v>46506</v>
      </c>
    </row>
    <row r="313" spans="8:8" x14ac:dyDescent="0.3">
      <c r="H313" s="6">
        <v>46507</v>
      </c>
    </row>
    <row r="314" spans="8:8" x14ac:dyDescent="0.3">
      <c r="H314" s="6">
        <v>46508</v>
      </c>
    </row>
    <row r="315" spans="8:8" x14ac:dyDescent="0.3">
      <c r="H315" s="6">
        <v>46509</v>
      </c>
    </row>
    <row r="316" spans="8:8" x14ac:dyDescent="0.3">
      <c r="H316" s="6">
        <v>46510</v>
      </c>
    </row>
    <row r="317" spans="8:8" x14ac:dyDescent="0.3">
      <c r="H317" s="6">
        <v>46511</v>
      </c>
    </row>
    <row r="318" spans="8:8" x14ac:dyDescent="0.3">
      <c r="H318" s="6">
        <v>46512</v>
      </c>
    </row>
    <row r="319" spans="8:8" x14ac:dyDescent="0.3">
      <c r="H319" s="6">
        <v>46513</v>
      </c>
    </row>
    <row r="320" spans="8:8" x14ac:dyDescent="0.3">
      <c r="H320" s="6">
        <v>46514</v>
      </c>
    </row>
    <row r="321" spans="8:8" x14ac:dyDescent="0.3">
      <c r="H321" s="6">
        <v>46515</v>
      </c>
    </row>
    <row r="322" spans="8:8" x14ac:dyDescent="0.3">
      <c r="H322" s="6">
        <v>46516</v>
      </c>
    </row>
    <row r="323" spans="8:8" x14ac:dyDescent="0.3">
      <c r="H323" s="6">
        <v>46517</v>
      </c>
    </row>
    <row r="324" spans="8:8" x14ac:dyDescent="0.3">
      <c r="H324" s="6">
        <v>46518</v>
      </c>
    </row>
    <row r="325" spans="8:8" x14ac:dyDescent="0.3">
      <c r="H325" s="6">
        <v>46519</v>
      </c>
    </row>
    <row r="326" spans="8:8" x14ac:dyDescent="0.3">
      <c r="H326" s="6">
        <v>46520</v>
      </c>
    </row>
    <row r="327" spans="8:8" x14ac:dyDescent="0.3">
      <c r="H327" s="6">
        <v>46521</v>
      </c>
    </row>
    <row r="328" spans="8:8" x14ac:dyDescent="0.3">
      <c r="H328" s="6">
        <v>46522</v>
      </c>
    </row>
    <row r="329" spans="8:8" x14ac:dyDescent="0.3">
      <c r="H329" s="6">
        <v>46523</v>
      </c>
    </row>
    <row r="330" spans="8:8" x14ac:dyDescent="0.3">
      <c r="H330" s="6">
        <v>46524</v>
      </c>
    </row>
    <row r="331" spans="8:8" x14ac:dyDescent="0.3">
      <c r="H331" s="6">
        <v>46525</v>
      </c>
    </row>
    <row r="332" spans="8:8" x14ac:dyDescent="0.3">
      <c r="H332" s="6">
        <v>46526</v>
      </c>
    </row>
    <row r="333" spans="8:8" x14ac:dyDescent="0.3">
      <c r="H333" s="6">
        <v>46527</v>
      </c>
    </row>
    <row r="334" spans="8:8" x14ac:dyDescent="0.3">
      <c r="H334" s="6">
        <v>46528</v>
      </c>
    </row>
    <row r="335" spans="8:8" x14ac:dyDescent="0.3">
      <c r="H335" s="6">
        <v>46529</v>
      </c>
    </row>
    <row r="336" spans="8:8" x14ac:dyDescent="0.3">
      <c r="H336" s="6">
        <v>46530</v>
      </c>
    </row>
    <row r="337" spans="8:8" x14ac:dyDescent="0.3">
      <c r="H337" s="6">
        <v>46531</v>
      </c>
    </row>
    <row r="338" spans="8:8" x14ac:dyDescent="0.3">
      <c r="H338" s="6">
        <v>46532</v>
      </c>
    </row>
    <row r="339" spans="8:8" x14ac:dyDescent="0.3">
      <c r="H339" s="6">
        <v>46533</v>
      </c>
    </row>
    <row r="340" spans="8:8" x14ac:dyDescent="0.3">
      <c r="H340" s="6">
        <v>46534</v>
      </c>
    </row>
    <row r="341" spans="8:8" x14ac:dyDescent="0.3">
      <c r="H341" s="6">
        <v>46535</v>
      </c>
    </row>
    <row r="342" spans="8:8" x14ac:dyDescent="0.3">
      <c r="H342" s="6">
        <v>46536</v>
      </c>
    </row>
    <row r="343" spans="8:8" x14ac:dyDescent="0.3">
      <c r="H343" s="6">
        <v>46537</v>
      </c>
    </row>
    <row r="344" spans="8:8" x14ac:dyDescent="0.3">
      <c r="H344" s="6">
        <v>46538</v>
      </c>
    </row>
    <row r="345" spans="8:8" x14ac:dyDescent="0.3">
      <c r="H345" s="6">
        <v>46539</v>
      </c>
    </row>
    <row r="346" spans="8:8" x14ac:dyDescent="0.3">
      <c r="H346" s="6">
        <v>46540</v>
      </c>
    </row>
    <row r="347" spans="8:8" x14ac:dyDescent="0.3">
      <c r="H347" s="6">
        <v>46541</v>
      </c>
    </row>
    <row r="348" spans="8:8" x14ac:dyDescent="0.3">
      <c r="H348" s="6">
        <v>46542</v>
      </c>
    </row>
    <row r="349" spans="8:8" x14ac:dyDescent="0.3">
      <c r="H349" s="6">
        <v>46543</v>
      </c>
    </row>
    <row r="350" spans="8:8" x14ac:dyDescent="0.3">
      <c r="H350" s="6">
        <v>46544</v>
      </c>
    </row>
    <row r="351" spans="8:8" x14ac:dyDescent="0.3">
      <c r="H351" s="6">
        <v>46545</v>
      </c>
    </row>
    <row r="352" spans="8:8" x14ac:dyDescent="0.3">
      <c r="H352" s="6">
        <v>46546</v>
      </c>
    </row>
    <row r="353" spans="8:8" x14ac:dyDescent="0.3">
      <c r="H353" s="6">
        <v>46547</v>
      </c>
    </row>
    <row r="354" spans="8:8" x14ac:dyDescent="0.3">
      <c r="H354" s="6">
        <v>46548</v>
      </c>
    </row>
    <row r="355" spans="8:8" x14ac:dyDescent="0.3">
      <c r="H355" s="6">
        <v>46549</v>
      </c>
    </row>
    <row r="356" spans="8:8" x14ac:dyDescent="0.3">
      <c r="H356" s="6">
        <v>46550</v>
      </c>
    </row>
    <row r="357" spans="8:8" x14ac:dyDescent="0.3">
      <c r="H357" s="6">
        <v>46551</v>
      </c>
    </row>
    <row r="358" spans="8:8" x14ac:dyDescent="0.3">
      <c r="H358" s="6">
        <v>46552</v>
      </c>
    </row>
    <row r="359" spans="8:8" x14ac:dyDescent="0.3">
      <c r="H359" s="6">
        <v>46553</v>
      </c>
    </row>
    <row r="360" spans="8:8" x14ac:dyDescent="0.3">
      <c r="H360" s="6">
        <v>46554</v>
      </c>
    </row>
    <row r="361" spans="8:8" x14ac:dyDescent="0.3">
      <c r="H361" s="6">
        <v>46555</v>
      </c>
    </row>
    <row r="362" spans="8:8" x14ac:dyDescent="0.3">
      <c r="H362" s="6">
        <v>46556</v>
      </c>
    </row>
    <row r="363" spans="8:8" x14ac:dyDescent="0.3">
      <c r="H363" s="6">
        <v>46557</v>
      </c>
    </row>
    <row r="364" spans="8:8" x14ac:dyDescent="0.3">
      <c r="H364" s="6">
        <v>46558</v>
      </c>
    </row>
    <row r="365" spans="8:8" x14ac:dyDescent="0.3">
      <c r="H365" s="6">
        <v>46559</v>
      </c>
    </row>
    <row r="366" spans="8:8" x14ac:dyDescent="0.3">
      <c r="H366" s="6">
        <v>46560</v>
      </c>
    </row>
    <row r="367" spans="8:8" x14ac:dyDescent="0.3">
      <c r="H367" s="6">
        <v>46561</v>
      </c>
    </row>
    <row r="368" spans="8:8" x14ac:dyDescent="0.3">
      <c r="H368" s="6">
        <v>46562</v>
      </c>
    </row>
    <row r="369" spans="8:8" x14ac:dyDescent="0.3">
      <c r="H369" s="6">
        <v>46563</v>
      </c>
    </row>
    <row r="370" spans="8:8" x14ac:dyDescent="0.3">
      <c r="H370" s="6">
        <v>46564</v>
      </c>
    </row>
    <row r="371" spans="8:8" x14ac:dyDescent="0.3">
      <c r="H371" s="6">
        <v>46565</v>
      </c>
    </row>
    <row r="372" spans="8:8" x14ac:dyDescent="0.3">
      <c r="H372" s="6">
        <v>46566</v>
      </c>
    </row>
    <row r="373" spans="8:8" x14ac:dyDescent="0.3">
      <c r="H373" s="6">
        <v>46567</v>
      </c>
    </row>
    <row r="374" spans="8:8" x14ac:dyDescent="0.3">
      <c r="H374" s="6">
        <v>46568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Aarohan Durga Puja 2026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Dipankar Kundu</cp:lastModifiedBy>
  <dcterms:created xsi:type="dcterms:W3CDTF">2026-07-20T05:58:42Z</dcterms:created>
  <dcterms:modified xsi:type="dcterms:W3CDTF">2026-07-23T14:17:49Z</dcterms:modified>
</cp:coreProperties>
</file>